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8_{E4640973-A9AD-4FC2-9AAE-782A5603C9FF}" xr6:coauthVersionLast="47" xr6:coauthVersionMax="47" xr10:uidLastSave="{00000000-0000-0000-0000-000000000000}"/>
  <bookViews>
    <workbookView xWindow="-120" yWindow="-120" windowWidth="20730" windowHeight="11040" xr2:uid="{8A76ADB5-6AF1-4DFD-9317-9A80D16B863C}"/>
  </bookViews>
  <sheets>
    <sheet name="NPD Plan" sheetId="1" r:id="rId1"/>
    <sheet name="Summary" sheetId="4" r:id="rId2"/>
    <sheet name="Aug Plan" sheetId="2" r:id="rId3"/>
  </sheets>
  <definedNames>
    <definedName name="_xlnm._FilterDatabase" localSheetId="2" hidden="1">'Aug Plan'!$A$2:$F$148</definedName>
    <definedName name="_xlnm._FilterDatabase" localSheetId="0" hidden="1">'NPD Plan'!$A$1:$G$20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" i="2" l="1"/>
  <c r="E1" i="2"/>
  <c r="D1" i="2"/>
</calcChain>
</file>

<file path=xl/sharedStrings.xml><?xml version="1.0" encoding="utf-8"?>
<sst xmlns="http://schemas.openxmlformats.org/spreadsheetml/2006/main" count="527" uniqueCount="338">
  <si>
    <t>SKU Code</t>
  </si>
  <si>
    <t>Name</t>
  </si>
  <si>
    <t>Tentative Launch Date</t>
  </si>
  <si>
    <t>Production</t>
  </si>
  <si>
    <t>Aug</t>
  </si>
  <si>
    <t>Sep</t>
  </si>
  <si>
    <t>Oct</t>
  </si>
  <si>
    <t>AN01</t>
  </si>
  <si>
    <t>Shilajit HoneySticks</t>
  </si>
  <si>
    <t>External</t>
  </si>
  <si>
    <t>AN05</t>
  </si>
  <si>
    <t>Shilajit Resin Snap Sachets Pof 30</t>
  </si>
  <si>
    <t>-</t>
  </si>
  <si>
    <t>Underarm Mist(Aqua)</t>
  </si>
  <si>
    <t>Internal</t>
  </si>
  <si>
    <t>Face Scrub 75ml- FK Exclusive</t>
  </si>
  <si>
    <t>Deep Cleansing BW Sampler</t>
  </si>
  <si>
    <t>Smoooth Skin Body Cream</t>
  </si>
  <si>
    <t>Deodorant Wipes</t>
  </si>
  <si>
    <t>NKE Roll On EPD</t>
  </si>
  <si>
    <t>Body Scrub- Berry In Love</t>
  </si>
  <si>
    <t>tbc</t>
  </si>
  <si>
    <t>Body Lotion with Fragrance(Floral)</t>
  </si>
  <si>
    <t>Chapstick EPD</t>
  </si>
  <si>
    <t>Body Mist(2variants)</t>
  </si>
  <si>
    <t>40% urea Foot roll on</t>
  </si>
  <si>
    <t>Body Scrub- Vani'lla Be Mine</t>
  </si>
  <si>
    <t>Aloe Vera Underarm Roll On</t>
  </si>
  <si>
    <t>Body Lotion with Fragrance(Vanilla)</t>
  </si>
  <si>
    <t>Foot Peeling Mask</t>
  </si>
  <si>
    <t>7% Underarm Roll On</t>
  </si>
  <si>
    <t>BA65</t>
  </si>
  <si>
    <t>Derma Roller</t>
  </si>
  <si>
    <t>Live</t>
  </si>
  <si>
    <t>SKU</t>
  </si>
  <si>
    <t>Product Title</t>
  </si>
  <si>
    <t>Plan- Aug</t>
  </si>
  <si>
    <t>Type</t>
  </si>
  <si>
    <t>Plan- Sep</t>
  </si>
  <si>
    <t>Plan- Oct</t>
  </si>
  <si>
    <t>CAP24</t>
  </si>
  <si>
    <t>Exfoliating Body Wash (236 ml)</t>
  </si>
  <si>
    <t>Inhouse</t>
  </si>
  <si>
    <t>BA76</t>
  </si>
  <si>
    <t>Rosemary &amp; Rice Water Hair Growth Spray-200ml</t>
  </si>
  <si>
    <t>BA24</t>
  </si>
  <si>
    <t>Anti Dandruff Shampoo</t>
  </si>
  <si>
    <t>CAP48</t>
  </si>
  <si>
    <t>Roll On: Aqua 40 ml (Rectangular Monocarton)-399</t>
  </si>
  <si>
    <t>BA74</t>
  </si>
  <si>
    <t>BA Expert Anti Dandruff Shampoo 100 ml</t>
  </si>
  <si>
    <t>BA22</t>
  </si>
  <si>
    <t>BA Expert | Anti Hairfall Shampoo 250 ml</t>
  </si>
  <si>
    <t>CAP82</t>
  </si>
  <si>
    <t>Â Oil &amp; Acne Control Face Wash</t>
  </si>
  <si>
    <t>CAP105</t>
  </si>
  <si>
    <t>Gentle Exfoliating Face Scrub 100ML</t>
  </si>
  <si>
    <t>BA63</t>
  </si>
  <si>
    <t>Bare Anatomy Advanced Hair Growth Serum</t>
  </si>
  <si>
    <t>Outsource</t>
  </si>
  <si>
    <t>CAP16</t>
  </si>
  <si>
    <t>Brightening Body Wash (236 ml)</t>
  </si>
  <si>
    <t>CAP107</t>
  </si>
  <si>
    <t>Brightening face serum (10% Vitamin C) 10ml</t>
  </si>
  <si>
    <t>BA9</t>
  </si>
  <si>
    <t>EXPERT | Ultra Smoothing Hair Mask (250 gms)</t>
  </si>
  <si>
    <t>CAP139</t>
  </si>
  <si>
    <t>Cherry Lip Balm 4.5gm</t>
  </si>
  <si>
    <t>CAP141</t>
  </si>
  <si>
    <t>Bright Boost SPF Lotion 236 ml</t>
  </si>
  <si>
    <t>BA10</t>
  </si>
  <si>
    <t>EXPERT | Ultra Smoothing Shampoo (250 ML)</t>
  </si>
  <si>
    <t>CAP65</t>
  </si>
  <si>
    <t>Neck, Knee, Elbow Brightening Roll On</t>
  </si>
  <si>
    <t>CAP25</t>
  </si>
  <si>
    <t>Exfoliating Body Wash (473 ml)</t>
  </si>
  <si>
    <t>BA98</t>
  </si>
  <si>
    <t>Anti-Dandruff Conditioner -175gm</t>
  </si>
  <si>
    <t>SS43</t>
  </si>
  <si>
    <t>5% Niacinamide Sunscreen Body Lotion 200g</t>
  </si>
  <si>
    <t>CAP126</t>
  </si>
  <si>
    <t>Chemist at Play Underarm Roll On Aqua 75ml</t>
  </si>
  <si>
    <t>SS12</t>
  </si>
  <si>
    <t>Hydrating Fluid Sunscreen 125 ml</t>
  </si>
  <si>
    <t>BA107</t>
  </si>
  <si>
    <t>Advanced Hair Growth Serum Roll-On</t>
  </si>
  <si>
    <t>BA73</t>
  </si>
  <si>
    <t>BA Expert Anti Hairfall Shampoo 100 ml</t>
  </si>
  <si>
    <t>BA97</t>
  </si>
  <si>
    <t>Anti-Hairfall Conditioner - 175gm</t>
  </si>
  <si>
    <t>BA82</t>
  </si>
  <si>
    <t>Ultra Smoothing Shampoo- 750ml</t>
  </si>
  <si>
    <t>CAP77</t>
  </si>
  <si>
    <t>Exfoliating Body Scrub - 75 gms</t>
  </si>
  <si>
    <t>CAP138</t>
  </si>
  <si>
    <t>Natural Lip Balm 4.5gm</t>
  </si>
  <si>
    <t>CAP83</t>
  </si>
  <si>
    <t>Â Brightening Boost Face Wash</t>
  </si>
  <si>
    <t>CAP49</t>
  </si>
  <si>
    <t>Roll On: Fragrance Free 40 ml (Rectangular Monocarton)-399</t>
  </si>
  <si>
    <t>SS42</t>
  </si>
  <si>
    <t>3% Niacinamide Featherlight Fluid Sunscreen 45g</t>
  </si>
  <si>
    <t>CAP137</t>
  </si>
  <si>
    <t>Oil &amp; Acne Control Face Wash 100ml - Flipkart</t>
  </si>
  <si>
    <t>BA87</t>
  </si>
  <si>
    <t>Advanced Anti-Grey Hair Serum</t>
  </si>
  <si>
    <t>BA51</t>
  </si>
  <si>
    <t>BA Gentle Cleansing Shampoo</t>
  </si>
  <si>
    <t>CAP62</t>
  </si>
  <si>
    <t>AHA Body Lotion</t>
  </si>
  <si>
    <t>CAP106</t>
  </si>
  <si>
    <t>Brightening face serum (10% Vitamin C) 30 ml</t>
  </si>
  <si>
    <t>BA93</t>
  </si>
  <si>
    <t>Ultra Smoothing Hair Serum 100ml</t>
  </si>
  <si>
    <t>CAP140</t>
  </si>
  <si>
    <t>Tri Active Roll On Aqua 40ml</t>
  </si>
  <si>
    <t>CAP1</t>
  </si>
  <si>
    <t>Acne Control Body Wash (236 ml)</t>
  </si>
  <si>
    <t>CAP70</t>
  </si>
  <si>
    <t>Underarm Roll On - 40 ml / White jasmine (Rectangular Monocarton) -399</t>
  </si>
  <si>
    <t>BA50</t>
  </si>
  <si>
    <t>Curl Intensifying Leave in Conditioner 140 ml</t>
  </si>
  <si>
    <t>CAP53</t>
  </si>
  <si>
    <t>Anti-Frizz Leave-In Conditioner</t>
  </si>
  <si>
    <t>CAP152</t>
  </si>
  <si>
    <t>Under Eye Cream</t>
  </si>
  <si>
    <t>CAP145</t>
  </si>
  <si>
    <t>Oil &amp; Acne Control Face Wash - Flipkart pack of 3</t>
  </si>
  <si>
    <t>CAP157</t>
  </si>
  <si>
    <t>Age Defence Night Cream-30gm</t>
  </si>
  <si>
    <t>BA105</t>
  </si>
  <si>
    <t>Ultra Smoothing Shampoo-100ml</t>
  </si>
  <si>
    <t>CAP50</t>
  </si>
  <si>
    <t>Under Arm Roll On - 40 ml / Peach (Rectangular Monocarton)-399</t>
  </si>
  <si>
    <t>CAP69</t>
  </si>
  <si>
    <t>Underarm Roll On - 40 ml / Woody Musk (Rectangular Monocarton)-399</t>
  </si>
  <si>
    <t>CAP68</t>
  </si>
  <si>
    <t>Underarm Roll On - Royal Oudh (Rectangular Monocarton)-399</t>
  </si>
  <si>
    <t>BA114</t>
  </si>
  <si>
    <t>Anti Dandruff Shampoo - 500ml</t>
  </si>
  <si>
    <t>BA26</t>
  </si>
  <si>
    <t>EXPERT | Scalp Scrub (250 gms)</t>
  </si>
  <si>
    <t>BA12</t>
  </si>
  <si>
    <t>EXPERT | Volumizing Shampoo (250 ML)</t>
  </si>
  <si>
    <t>BA60</t>
  </si>
  <si>
    <t>Rosemary Coconut Milk Hydrating Shampoo</t>
  </si>
  <si>
    <t>BA49</t>
  </si>
  <si>
    <t>Curl Defining Shampoo 250 ml</t>
  </si>
  <si>
    <t>BA91</t>
  </si>
  <si>
    <t>Oil Control Shampoo 236ml.</t>
  </si>
  <si>
    <t>CAP160</t>
  </si>
  <si>
    <t>Oil Control Face Moisturiser - 100gm</t>
  </si>
  <si>
    <t>BA1</t>
  </si>
  <si>
    <t>EXPERT | Anti-Frizz Shampoo (250 ML)</t>
  </si>
  <si>
    <t>CAP147</t>
  </si>
  <si>
    <t>Cherry Lip Jelly (India Tube)</t>
  </si>
  <si>
    <t>BA6</t>
  </si>
  <si>
    <t>EXPERT | Damage Repair Hair Mask (250 gms)</t>
  </si>
  <si>
    <t>CAP135</t>
  </si>
  <si>
    <t>Odour Control Body Wash 236ml</t>
  </si>
  <si>
    <t>BA104</t>
  </si>
  <si>
    <t>Anti-Dandruff Conditioner -100gm</t>
  </si>
  <si>
    <t>BA48</t>
  </si>
  <si>
    <t>Curl Enhancing Hair Mask 250 gm</t>
  </si>
  <si>
    <t>BA4</t>
  </si>
  <si>
    <t>EXPERT | Damage Repair Shampoo (250 ML)</t>
  </si>
  <si>
    <t>BA5</t>
  </si>
  <si>
    <t>EXPERT | Anti-Frizz Hair Mask (250 gms)</t>
  </si>
  <si>
    <t>CAP34</t>
  </si>
  <si>
    <t>Hydrating Body Wash (236 ml)</t>
  </si>
  <si>
    <t>BA55</t>
  </si>
  <si>
    <t>Rosemary and Coconut Milk Hydrating Conditioner</t>
  </si>
  <si>
    <t>CAP128</t>
  </si>
  <si>
    <t>Chemist at Play Gentle &amp; Soothing Face Wash - 150ml</t>
  </si>
  <si>
    <t>CAP154</t>
  </si>
  <si>
    <t>Exfoliating Face Wash-75ml</t>
  </si>
  <si>
    <t>BA118</t>
  </si>
  <si>
    <t>Fenugreek &amp; Curry Leaves Hair Strengthening Spray - 200ml</t>
  </si>
  <si>
    <t>BA103</t>
  </si>
  <si>
    <t>Anti-Hairfall Conditioner -100gm</t>
  </si>
  <si>
    <t>BA94</t>
  </si>
  <si>
    <t>Damage Repair Hair Serum 100ml</t>
  </si>
  <si>
    <t>BA106</t>
  </si>
  <si>
    <t>Root Lift &amp; Volume Spray- 150ml</t>
  </si>
  <si>
    <t>BA108</t>
  </si>
  <si>
    <t>Neem &amp; Lemon Dandruff Control Scalp Spray - 200ml</t>
  </si>
  <si>
    <t>CAP134</t>
  </si>
  <si>
    <t>Deep Cleansing Body Wash 236ml</t>
  </si>
  <si>
    <t>CAP2</t>
  </si>
  <si>
    <t>Acne Control Body Wash (473 ml)</t>
  </si>
  <si>
    <t>CAP17</t>
  </si>
  <si>
    <t>Brightening Body Wash (473 ml)</t>
  </si>
  <si>
    <t>BA110</t>
  </si>
  <si>
    <t>Instant Cover-Up Hair Powder Black-4gm</t>
  </si>
  <si>
    <t>BA27</t>
  </si>
  <si>
    <t>EXPERT | Heat Protection Spray</t>
  </si>
  <si>
    <t>CAP162</t>
  </si>
  <si>
    <t>Intensely Hydrating Face Serum - 10ml</t>
  </si>
  <si>
    <t>BA75</t>
  </si>
  <si>
    <t>Anti Dandruff Shampoo- 750ml</t>
  </si>
  <si>
    <t>CAP127</t>
  </si>
  <si>
    <t>Chemist at Play Hydrating Moisturizer - 100gm</t>
  </si>
  <si>
    <t>BA66</t>
  </si>
  <si>
    <t>BA Rosemary &amp; Hibiscus Hair Growth Oil</t>
  </si>
  <si>
    <t>BA3</t>
  </si>
  <si>
    <t>EXPERT | Color Protect Shampoo (250 ML)</t>
  </si>
  <si>
    <t>CO358</t>
  </si>
  <si>
    <t>Combo- Anti-Dandruff Shampoo (100ml) + Anti-Dandruff Conditioner (100g)</t>
  </si>
  <si>
    <t>CO357</t>
  </si>
  <si>
    <t>Combo- Anti-Hairfall Shampoo (100ml) + Anti-Hairfall Conditioner (100g)</t>
  </si>
  <si>
    <t>CAP153</t>
  </si>
  <si>
    <t>Exfoliating Face Wash-100ml</t>
  </si>
  <si>
    <t>CAP144</t>
  </si>
  <si>
    <t>Oil &amp; Acne Control Face Wash - Flipkart pack of 2</t>
  </si>
  <si>
    <t>SS40</t>
  </si>
  <si>
    <t>Kids 100% Mineral Sunscreen Lotion 75gm</t>
  </si>
  <si>
    <t>CAP89</t>
  </si>
  <si>
    <t>Hydrating Foot Cream</t>
  </si>
  <si>
    <t>CAP136</t>
  </si>
  <si>
    <t>Gentle and Soothing Face Wash 75 ml</t>
  </si>
  <si>
    <t>CAP81</t>
  </si>
  <si>
    <t>Â Hydrating Face Wash-100ML</t>
  </si>
  <si>
    <t>CAP159</t>
  </si>
  <si>
    <t>Foot Roll On- Concern</t>
  </si>
  <si>
    <t>BA47</t>
  </si>
  <si>
    <t>Curl Defining Hair Gel 140 ml</t>
  </si>
  <si>
    <t>BA11</t>
  </si>
  <si>
    <t>EXPERT | Volumizing mask ( 250 gms )</t>
  </si>
  <si>
    <t>CO343</t>
  </si>
  <si>
    <t>Ultra Smoothing Kit (Shampoo 40ml + Mask 40gm)</t>
  </si>
  <si>
    <t>BA72</t>
  </si>
  <si>
    <t>Argan Oil &amp; Vitamin E Anti Frizz Serum</t>
  </si>
  <si>
    <t>BA86</t>
  </si>
  <si>
    <t>Bare Anatomy Sleek Stick</t>
  </si>
  <si>
    <t>CAP146</t>
  </si>
  <si>
    <t>Clarifying Face Serum - 10ML</t>
  </si>
  <si>
    <t>CAP151</t>
  </si>
  <si>
    <t>AHA Body Lotion - 100ml</t>
  </si>
  <si>
    <t>BA89</t>
  </si>
  <si>
    <t>100% Pure &amp; Natural Rosemary Essential Oil</t>
  </si>
  <si>
    <t>BA109</t>
  </si>
  <si>
    <t>Advanced Anti Dandruff Serum - 50ml</t>
  </si>
  <si>
    <t>CAP129</t>
  </si>
  <si>
    <t>2% Salicylic Acid Serum 30ml</t>
  </si>
  <si>
    <t>CAP132</t>
  </si>
  <si>
    <t>2% Salicylic Acid Serum 10ml</t>
  </si>
  <si>
    <t>CAP80</t>
  </si>
  <si>
    <t>Â CAP Retinol Body Lotion 200 ml</t>
  </si>
  <si>
    <t>CAP78</t>
  </si>
  <si>
    <t>Exfoliating Peeling Solution 30 ml</t>
  </si>
  <si>
    <t>BA77</t>
  </si>
  <si>
    <t>Scalp Massager</t>
  </si>
  <si>
    <t>CAP158</t>
  </si>
  <si>
    <t>10% Magnesium Body Lotion - 236ML</t>
  </si>
  <si>
    <t>CAP166</t>
  </si>
  <si>
    <t>Under Arm Roll On- Fragrance Free - 75ml</t>
  </si>
  <si>
    <t>BA2</t>
  </si>
  <si>
    <t>EXPERT | Color Protect Hair Mask (250 gms)</t>
  </si>
  <si>
    <t>CAP85</t>
  </si>
  <si>
    <t>Â Hydrating Body Lotion 200 ml</t>
  </si>
  <si>
    <t>CAP119</t>
  </si>
  <si>
    <t>AHA Body Lotion - 473 ml</t>
  </si>
  <si>
    <t>BA112</t>
  </si>
  <si>
    <t>Anti Hairfall Shampoo - 450ml</t>
  </si>
  <si>
    <t>CAP143</t>
  </si>
  <si>
    <t>Clarifying Face Serum - 30ml</t>
  </si>
  <si>
    <t>CAP165</t>
  </si>
  <si>
    <t>Epsom Body Wash - 236ml</t>
  </si>
  <si>
    <t>BA111</t>
  </si>
  <si>
    <t>Instant Cover-Up Hair Powder Brown-4gm</t>
  </si>
  <si>
    <t>CAP102</t>
  </si>
  <si>
    <t>Gentle Exfoliating Face Toner</t>
  </si>
  <si>
    <t>BA117</t>
  </si>
  <si>
    <t>Hair Volumizing Powder -8gm</t>
  </si>
  <si>
    <t>BA88</t>
  </si>
  <si>
    <t>Gentle Cleansing Shampoo- 750mlÃ‚Â </t>
  </si>
  <si>
    <t>CAP161</t>
  </si>
  <si>
    <t>Intensely Hydrating Face Serum - 30ml</t>
  </si>
  <si>
    <t>CAP52</t>
  </si>
  <si>
    <t>Loofah</t>
  </si>
  <si>
    <t>CAP148</t>
  </si>
  <si>
    <t>Chocolate Lip Jelly (India Tube)</t>
  </si>
  <si>
    <t>BA113</t>
  </si>
  <si>
    <t>Anti Hairfall Shampoo - 500ml</t>
  </si>
  <si>
    <t>CAP149</t>
  </si>
  <si>
    <t>Peach Lip Jelly (India Tube)</t>
  </si>
  <si>
    <t>BA100</t>
  </si>
  <si>
    <t>Anti-Dandruff Shampoo 450ml - Retail</t>
  </si>
  <si>
    <t>CO346</t>
  </si>
  <si>
    <t>Exfoliating Travel Set</t>
  </si>
  <si>
    <t>CAP150</t>
  </si>
  <si>
    <t>Vanilla Lip Jelly (India Tube)</t>
  </si>
  <si>
    <t>BA119</t>
  </si>
  <si>
    <t>Anti- Hairfall shampoo - 750ml</t>
  </si>
  <si>
    <t>CAP172</t>
  </si>
  <si>
    <t>Exfoliating Face Scrub - 75ml</t>
  </si>
  <si>
    <t>CAP173</t>
  </si>
  <si>
    <t>Gentle Exfoliating Face Wash 75ml- Pack of 2</t>
  </si>
  <si>
    <t>BA123</t>
  </si>
  <si>
    <t>Ultra Smoothing Hair Mask - 100gm</t>
  </si>
  <si>
    <t>CO529</t>
  </si>
  <si>
    <t>Exfoliation and Odour Control Kit</t>
  </si>
  <si>
    <t>CO538</t>
  </si>
  <si>
    <t>Rosemary Hair Growth and Repair Kit Pack of 5</t>
  </si>
  <si>
    <t>CO539</t>
  </si>
  <si>
    <t>4 Step Hair Fall Control Kit (CO539)</t>
  </si>
  <si>
    <t>BA99</t>
  </si>
  <si>
    <t>Ultra Smoothing Shampoo 450ml - Retail</t>
  </si>
  <si>
    <t>BA78</t>
  </si>
  <si>
    <t>Rosemary &amp; Coconut Milk Hydrating Shampoo- 650ml</t>
  </si>
  <si>
    <t>CAP170</t>
  </si>
  <si>
    <t>Underarm Roll-on Peach - 50ml ( Retail ) (CAP170)</t>
  </si>
  <si>
    <t>BA79</t>
  </si>
  <si>
    <t>Anti-Dandruff Shampoo 750ml</t>
  </si>
  <si>
    <t>CAP169</t>
  </si>
  <si>
    <t>Underarm Roll-on Aqua- 50ml ( Retail ) (CAP169)</t>
  </si>
  <si>
    <t>BA120</t>
  </si>
  <si>
    <t>Castor Oil - 250ml</t>
  </si>
  <si>
    <t>CAP171</t>
  </si>
  <si>
    <t>Underarm Roll-on White Jasmine - 50ml ( Retail ) (CAP171)</t>
  </si>
  <si>
    <t>BA85</t>
  </si>
  <si>
    <t>Ultra Smoothing Shampoo- 750ml-Retail</t>
  </si>
  <si>
    <t>CO540</t>
  </si>
  <si>
    <t>5 Step Dandruff Control Kit (CO540)</t>
  </si>
  <si>
    <t>BA121</t>
  </si>
  <si>
    <t>NxS Flaxseed &amp; Rice Water Hair Gel 300ml</t>
  </si>
  <si>
    <t>BA124</t>
  </si>
  <si>
    <t>Rosemary &amp; Rice Water Hair Growth Spray- 100ml</t>
  </si>
  <si>
    <t>CAP176</t>
  </si>
  <si>
    <t>Daily Exfoliating Bathing Bar 100gm</t>
  </si>
  <si>
    <t>CO547</t>
  </si>
  <si>
    <t>Daily Exfoliating Bathing Bar Pack Of 2</t>
  </si>
  <si>
    <t>CO548</t>
  </si>
  <si>
    <t>Daily Exfoliating Bathing Bar Pack Of 3</t>
  </si>
  <si>
    <t>Grand Total</t>
  </si>
  <si>
    <t>Sum of Plan- Aug</t>
  </si>
  <si>
    <t>Sum of Plan- Sep</t>
  </si>
  <si>
    <t>Sum of Plan- 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</si>
</sst>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0"/>
      <color theme="1"/>
      <name val="Arial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5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164" fontId="5" fillId="0" borderId="1" xfId="1" applyNumberFormat="1" applyFont="1" applyBorder="1" applyAlignment="1">
      <alignment horizontal="center" wrapText="1"/>
    </xf>
    <xf numFmtId="164" fontId="6" fillId="0" borderId="1" xfId="1" applyNumberFormat="1" applyFont="1" applyBorder="1" applyAlignment="1">
      <alignment horizontal="center" wrapText="1"/>
    </xf>
    <xf numFmtId="164" fontId="5" fillId="0" borderId="1" xfId="1" applyNumberFormat="1" applyFont="1" applyBorder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 vertical="center" wrapText="1"/>
    </xf>
    <xf numFmtId="17" fontId="6" fillId="0" borderId="1" xfId="0" applyNumberFormat="1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wrapText="1"/>
    </xf>
    <xf numFmtId="0" fontId="0" fillId="0" borderId="0" xfId="0" applyAlignment="1">
      <alignment wrapText="1"/>
    </xf>
    <xf numFmtId="164" fontId="5" fillId="0" borderId="1" xfId="1" applyNumberFormat="1" applyFont="1" applyBorder="1" applyAlignment="1">
      <alignment wrapText="1"/>
    </xf>
    <xf numFmtId="0" fontId="2" fillId="0" borderId="1" xfId="0" applyFont="1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 wrapText="1"/>
    </xf>
    <xf numFmtId="0" fontId="7" fillId="0" borderId="1" xfId="0" applyFont="1" applyFill="1" applyBorder="1" applyAlignment="1">
      <alignment horizontal="center" wrapText="1"/>
    </xf>
    <xf numFmtId="0" fontId="5" fillId="0" borderId="1" xfId="0" applyFont="1" applyFill="1" applyBorder="1" applyAlignment="1">
      <alignment horizontal="center" vertical="center" wrapText="1"/>
    </xf>
    <xf numFmtId="164" fontId="0" fillId="0" borderId="1" xfId="1" applyNumberFormat="1" applyFont="1" applyFill="1" applyBorder="1"/>
    <xf numFmtId="164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3DD1F-85F1-4810-9C9B-44944BCB9511}">
  <dimension ref="A1:G22"/>
  <sheetViews>
    <sheetView showGridLines="0" tabSelected="1" workbookViewId="0">
      <selection activeCell="A6" sqref="A6"/>
    </sheetView>
  </sheetViews>
  <sheetFormatPr defaultRowHeight="15" x14ac:dyDescent="0.25"/>
  <cols>
    <col min="1" max="1" width="10.5703125" bestFit="1" customWidth="1"/>
    <col min="2" max="2" width="30.7109375" bestFit="1" customWidth="1"/>
    <col min="3" max="3" width="18.140625" bestFit="1" customWidth="1"/>
    <col min="4" max="4" width="9.42578125" bestFit="1" customWidth="1"/>
    <col min="5" max="5" width="10.28515625" bestFit="1" customWidth="1"/>
    <col min="6" max="7" width="11.85546875" bestFit="1" customWidth="1"/>
  </cols>
  <sheetData>
    <row r="1" spans="1:7" x14ac:dyDescent="0.25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</row>
    <row r="2" spans="1:7" x14ac:dyDescent="0.25">
      <c r="A2" s="8" t="s">
        <v>7</v>
      </c>
      <c r="B2" s="1" t="s">
        <v>8</v>
      </c>
      <c r="C2" s="9">
        <v>46235</v>
      </c>
      <c r="D2" s="2" t="s">
        <v>9</v>
      </c>
      <c r="E2" s="3">
        <v>1000</v>
      </c>
      <c r="F2" s="3">
        <v>2000</v>
      </c>
      <c r="G2" s="5">
        <v>3000</v>
      </c>
    </row>
    <row r="3" spans="1:7" x14ac:dyDescent="0.25">
      <c r="A3" s="1" t="s">
        <v>10</v>
      </c>
      <c r="B3" s="10" t="s">
        <v>11</v>
      </c>
      <c r="C3" s="9">
        <v>46235</v>
      </c>
      <c r="D3" s="2" t="s">
        <v>9</v>
      </c>
      <c r="E3" s="3">
        <v>750</v>
      </c>
      <c r="F3" s="3">
        <v>1500</v>
      </c>
      <c r="G3" s="5">
        <v>2000</v>
      </c>
    </row>
    <row r="4" spans="1:7" x14ac:dyDescent="0.25">
      <c r="A4" s="2" t="s">
        <v>12</v>
      </c>
      <c r="B4" s="2" t="s">
        <v>13</v>
      </c>
      <c r="C4" s="11">
        <v>46237</v>
      </c>
      <c r="D4" s="2" t="s">
        <v>14</v>
      </c>
      <c r="E4" s="4">
        <v>10000</v>
      </c>
      <c r="F4" s="4">
        <v>10000</v>
      </c>
      <c r="G4" s="4">
        <v>5000</v>
      </c>
    </row>
    <row r="5" spans="1:7" x14ac:dyDescent="0.25">
      <c r="A5" s="2" t="s">
        <v>12</v>
      </c>
      <c r="B5" s="2" t="s">
        <v>15</v>
      </c>
      <c r="C5" s="11">
        <v>46239</v>
      </c>
      <c r="D5" s="2" t="s">
        <v>14</v>
      </c>
      <c r="E5" s="4"/>
      <c r="F5" s="4"/>
      <c r="G5" s="4"/>
    </row>
    <row r="6" spans="1:7" x14ac:dyDescent="0.25">
      <c r="A6" s="2" t="s">
        <v>12</v>
      </c>
      <c r="B6" s="2" t="s">
        <v>16</v>
      </c>
      <c r="C6" s="11">
        <v>46241</v>
      </c>
      <c r="D6" s="2" t="s">
        <v>14</v>
      </c>
      <c r="E6" s="4"/>
      <c r="F6" s="4"/>
      <c r="G6" s="4"/>
    </row>
    <row r="7" spans="1:7" x14ac:dyDescent="0.25">
      <c r="A7" s="2" t="s">
        <v>12</v>
      </c>
      <c r="B7" s="2" t="s">
        <v>17</v>
      </c>
      <c r="C7" s="11">
        <v>46265</v>
      </c>
      <c r="D7" s="2" t="s">
        <v>14</v>
      </c>
      <c r="E7" s="4">
        <v>10000</v>
      </c>
      <c r="F7" s="4">
        <v>10000</v>
      </c>
      <c r="G7" s="4">
        <v>5000</v>
      </c>
    </row>
    <row r="8" spans="1:7" x14ac:dyDescent="0.25">
      <c r="A8" s="2" t="s">
        <v>12</v>
      </c>
      <c r="B8" s="2" t="s">
        <v>18</v>
      </c>
      <c r="C8" s="11">
        <v>46265</v>
      </c>
      <c r="D8" s="2" t="s">
        <v>9</v>
      </c>
      <c r="E8" s="4" t="s">
        <v>12</v>
      </c>
      <c r="F8" s="4">
        <v>2500</v>
      </c>
      <c r="G8" s="4">
        <v>2500</v>
      </c>
    </row>
    <row r="9" spans="1:7" x14ac:dyDescent="0.25">
      <c r="A9" s="2" t="s">
        <v>12</v>
      </c>
      <c r="B9" s="2" t="s">
        <v>19</v>
      </c>
      <c r="C9" s="11">
        <v>46280</v>
      </c>
      <c r="D9" s="2" t="s">
        <v>14</v>
      </c>
      <c r="E9" s="4" t="s">
        <v>12</v>
      </c>
      <c r="F9" s="4">
        <v>3000</v>
      </c>
      <c r="G9" s="4">
        <v>3000</v>
      </c>
    </row>
    <row r="10" spans="1:7" x14ac:dyDescent="0.25">
      <c r="A10" s="2" t="s">
        <v>12</v>
      </c>
      <c r="B10" s="2" t="s">
        <v>20</v>
      </c>
      <c r="C10" s="11">
        <v>46283</v>
      </c>
      <c r="D10" s="2" t="s">
        <v>14</v>
      </c>
      <c r="E10" s="3" t="s">
        <v>21</v>
      </c>
      <c r="F10" s="3">
        <v>10000</v>
      </c>
      <c r="G10" s="3">
        <v>5000</v>
      </c>
    </row>
    <row r="11" spans="1:7" x14ac:dyDescent="0.25">
      <c r="A11" s="2" t="s">
        <v>12</v>
      </c>
      <c r="B11" s="2" t="s">
        <v>22</v>
      </c>
      <c r="C11" s="11">
        <v>46283</v>
      </c>
      <c r="D11" s="2" t="s">
        <v>14</v>
      </c>
      <c r="E11" s="3" t="s">
        <v>21</v>
      </c>
      <c r="F11" s="3">
        <v>10000</v>
      </c>
      <c r="G11" s="3">
        <v>10000</v>
      </c>
    </row>
    <row r="12" spans="1:7" x14ac:dyDescent="0.25">
      <c r="A12" s="2" t="s">
        <v>12</v>
      </c>
      <c r="B12" s="2" t="s">
        <v>23</v>
      </c>
      <c r="C12" s="11">
        <v>46286</v>
      </c>
      <c r="D12" s="2" t="s">
        <v>9</v>
      </c>
      <c r="E12" s="4"/>
      <c r="F12" s="13">
        <v>100000</v>
      </c>
      <c r="G12" s="13">
        <v>120000</v>
      </c>
    </row>
    <row r="13" spans="1:7" x14ac:dyDescent="0.25">
      <c r="A13" s="2" t="s">
        <v>12</v>
      </c>
      <c r="B13" s="2" t="s">
        <v>24</v>
      </c>
      <c r="C13" s="11">
        <v>46288</v>
      </c>
      <c r="D13" s="2" t="s">
        <v>14</v>
      </c>
      <c r="E13" s="4" t="s">
        <v>12</v>
      </c>
      <c r="F13" s="4">
        <v>4000</v>
      </c>
      <c r="G13" s="4">
        <v>4000</v>
      </c>
    </row>
    <row r="14" spans="1:7" x14ac:dyDescent="0.25">
      <c r="A14" s="2" t="s">
        <v>12</v>
      </c>
      <c r="B14" s="2" t="s">
        <v>25</v>
      </c>
      <c r="C14" s="11">
        <v>46290</v>
      </c>
      <c r="D14" s="2" t="s">
        <v>14</v>
      </c>
      <c r="E14" s="4"/>
      <c r="F14" s="4">
        <v>5000</v>
      </c>
      <c r="G14" s="4"/>
    </row>
    <row r="15" spans="1:7" x14ac:dyDescent="0.25">
      <c r="A15" s="2" t="s">
        <v>12</v>
      </c>
      <c r="B15" s="2" t="s">
        <v>26</v>
      </c>
      <c r="C15" s="11">
        <v>46294</v>
      </c>
      <c r="D15" s="2" t="s">
        <v>14</v>
      </c>
      <c r="E15" s="3" t="s">
        <v>21</v>
      </c>
      <c r="F15" s="3">
        <v>10000</v>
      </c>
      <c r="G15" s="3">
        <v>10000</v>
      </c>
    </row>
    <row r="16" spans="1:7" x14ac:dyDescent="0.25">
      <c r="A16" s="2" t="s">
        <v>12</v>
      </c>
      <c r="B16" s="2" t="s">
        <v>27</v>
      </c>
      <c r="C16" s="11">
        <v>46294</v>
      </c>
      <c r="D16" s="2" t="s">
        <v>14</v>
      </c>
      <c r="E16" s="4" t="s">
        <v>12</v>
      </c>
      <c r="F16" s="4">
        <v>10000</v>
      </c>
      <c r="G16" s="4">
        <v>10000</v>
      </c>
    </row>
    <row r="17" spans="1:7" x14ac:dyDescent="0.25">
      <c r="A17" s="2" t="s">
        <v>12</v>
      </c>
      <c r="B17" s="2" t="s">
        <v>28</v>
      </c>
      <c r="C17" s="11">
        <v>46295</v>
      </c>
      <c r="D17" s="2" t="s">
        <v>14</v>
      </c>
      <c r="E17" s="3" t="s">
        <v>21</v>
      </c>
      <c r="F17" s="3">
        <v>10000</v>
      </c>
      <c r="G17" s="3">
        <v>5000</v>
      </c>
    </row>
    <row r="18" spans="1:7" x14ac:dyDescent="0.25">
      <c r="A18" s="2" t="s">
        <v>12</v>
      </c>
      <c r="B18" s="2" t="s">
        <v>29</v>
      </c>
      <c r="C18" s="11">
        <v>46295</v>
      </c>
      <c r="D18" s="2" t="s">
        <v>9</v>
      </c>
      <c r="E18" s="4" t="s">
        <v>12</v>
      </c>
      <c r="F18" s="4">
        <v>5000</v>
      </c>
      <c r="G18" s="4">
        <v>5000</v>
      </c>
    </row>
    <row r="19" spans="1:7" x14ac:dyDescent="0.25">
      <c r="A19" s="2" t="s">
        <v>12</v>
      </c>
      <c r="B19" s="2" t="s">
        <v>30</v>
      </c>
      <c r="C19" s="11">
        <v>46295</v>
      </c>
      <c r="D19" s="2" t="s">
        <v>14</v>
      </c>
      <c r="E19" s="4" t="s">
        <v>12</v>
      </c>
      <c r="F19" s="4">
        <v>10000</v>
      </c>
      <c r="G19" s="4">
        <v>10000</v>
      </c>
    </row>
    <row r="20" spans="1:7" x14ac:dyDescent="0.25">
      <c r="A20" s="2" t="s">
        <v>31</v>
      </c>
      <c r="B20" s="1" t="s">
        <v>32</v>
      </c>
      <c r="C20" s="1" t="s">
        <v>33</v>
      </c>
      <c r="D20" s="1" t="s">
        <v>9</v>
      </c>
      <c r="E20" s="3">
        <v>15000</v>
      </c>
      <c r="F20" s="3">
        <v>20000</v>
      </c>
      <c r="G20" s="5">
        <v>25000</v>
      </c>
    </row>
    <row r="21" spans="1:7" x14ac:dyDescent="0.25">
      <c r="A21" s="12"/>
      <c r="B21" s="12"/>
      <c r="C21" s="12"/>
      <c r="D21" s="12"/>
      <c r="E21" s="12"/>
      <c r="F21" s="12"/>
      <c r="G21" s="12"/>
    </row>
    <row r="22" spans="1:7" x14ac:dyDescent="0.25">
      <c r="A22" s="12"/>
      <c r="B22" s="12"/>
      <c r="C22" s="12"/>
      <c r="D22" s="12"/>
      <c r="E22" s="12"/>
      <c r="F22" s="12"/>
      <c r="G22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128CE-DDAD-41AF-B0FE-CC40D2AFF7C9}">
  <dimension ref="A2:D5"/>
  <sheetViews>
    <sheetView workbookViewId="0">
      <selection activeCell="B5" sqref="B5:D5"/>
    </sheetView>
  </sheetViews>
  <sheetFormatPr defaultRowHeight="15" x14ac:dyDescent="0.25"/>
  <cols>
    <col min="1" max="1" width="11.28515625" bestFit="1" customWidth="1"/>
    <col min="2" max="2" width="16" bestFit="1" customWidth="1"/>
    <col min="3" max="3" width="15.85546875" bestFit="1" customWidth="1"/>
    <col min="4" max="4" width="15.7109375" bestFit="1" customWidth="1"/>
  </cols>
  <sheetData>
    <row r="2" spans="1:4" x14ac:dyDescent="0.25">
      <c r="A2" s="16" t="s">
        <v>37</v>
      </c>
      <c r="B2" s="16" t="s">
        <v>335</v>
      </c>
      <c r="C2" s="16" t="s">
        <v>336</v>
      </c>
      <c r="D2" s="16" t="s">
        <v>337</v>
      </c>
    </row>
    <row r="3" spans="1:4" x14ac:dyDescent="0.25">
      <c r="A3" s="14" t="s">
        <v>42</v>
      </c>
      <c r="B3" s="15">
        <v>3314697.15</v>
      </c>
      <c r="C3" s="15">
        <v>3170830.2166666654</v>
      </c>
      <c r="D3" s="15">
        <v>2480384.3199999989</v>
      </c>
    </row>
    <row r="4" spans="1:4" x14ac:dyDescent="0.25">
      <c r="A4" s="14" t="s">
        <v>59</v>
      </c>
      <c r="B4" s="15">
        <v>303893.85000000003</v>
      </c>
      <c r="C4" s="15">
        <v>292878.8</v>
      </c>
      <c r="D4" s="15">
        <v>201994.37999999998</v>
      </c>
    </row>
    <row r="5" spans="1:4" x14ac:dyDescent="0.25">
      <c r="A5" s="14" t="s">
        <v>334</v>
      </c>
      <c r="B5" s="15">
        <v>3618591</v>
      </c>
      <c r="C5" s="15">
        <v>3463709.0166666652</v>
      </c>
      <c r="D5" s="15">
        <v>2682378.6999999988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B5A0D-0931-4807-9847-EEF7343387EE}">
  <dimension ref="A1:F148"/>
  <sheetViews>
    <sheetView topLeftCell="A2" workbookViewId="0">
      <selection activeCell="D2" sqref="D2"/>
    </sheetView>
  </sheetViews>
  <sheetFormatPr defaultRowHeight="15" x14ac:dyDescent="0.25"/>
  <cols>
    <col min="1" max="1" width="7.42578125" bestFit="1" customWidth="1"/>
    <col min="2" max="2" width="68.5703125" bestFit="1" customWidth="1"/>
    <col min="3" max="3" width="10.140625" bestFit="1" customWidth="1"/>
    <col min="4" max="4" width="10" bestFit="1" customWidth="1"/>
    <col min="5" max="5" width="11.7109375" customWidth="1"/>
    <col min="6" max="6" width="11.42578125" customWidth="1"/>
  </cols>
  <sheetData>
    <row r="1" spans="1:6" x14ac:dyDescent="0.25">
      <c r="D1" s="23">
        <f>+SUM(D3:D148)</f>
        <v>3618591.0000000005</v>
      </c>
      <c r="E1" s="23">
        <f t="shared" ref="E1:F1" si="0">+SUM(E3:E148)</f>
        <v>3463709.0166666657</v>
      </c>
      <c r="F1" s="23">
        <f t="shared" si="0"/>
        <v>2682378.6999999979</v>
      </c>
    </row>
    <row r="2" spans="1:6" x14ac:dyDescent="0.25">
      <c r="A2" s="16" t="s">
        <v>34</v>
      </c>
      <c r="B2" s="16" t="s">
        <v>35</v>
      </c>
      <c r="C2" s="16" t="s">
        <v>37</v>
      </c>
      <c r="D2" s="16" t="s">
        <v>36</v>
      </c>
      <c r="E2" s="16" t="s">
        <v>38</v>
      </c>
      <c r="F2" s="16" t="s">
        <v>39</v>
      </c>
    </row>
    <row r="3" spans="1:6" x14ac:dyDescent="0.25">
      <c r="A3" s="17" t="s">
        <v>40</v>
      </c>
      <c r="B3" s="17" t="s">
        <v>41</v>
      </c>
      <c r="C3" s="17" t="s">
        <v>42</v>
      </c>
      <c r="D3" s="18">
        <v>437690.45</v>
      </c>
      <c r="E3" s="18">
        <v>282901.15000000002</v>
      </c>
      <c r="F3" s="18">
        <v>243884.64</v>
      </c>
    </row>
    <row r="4" spans="1:6" x14ac:dyDescent="0.25">
      <c r="A4" s="17" t="s">
        <v>43</v>
      </c>
      <c r="B4" s="17" t="s">
        <v>44</v>
      </c>
      <c r="C4" s="17" t="s">
        <v>42</v>
      </c>
      <c r="D4" s="18">
        <v>173437.8</v>
      </c>
      <c r="E4" s="18">
        <v>229111.76666666666</v>
      </c>
      <c r="F4" s="18">
        <v>161832.6</v>
      </c>
    </row>
    <row r="5" spans="1:6" x14ac:dyDescent="0.25">
      <c r="A5" s="17" t="s">
        <v>45</v>
      </c>
      <c r="B5" s="17" t="s">
        <v>46</v>
      </c>
      <c r="C5" s="17" t="s">
        <v>42</v>
      </c>
      <c r="D5" s="18">
        <v>218939.05</v>
      </c>
      <c r="E5" s="18">
        <v>179734.65</v>
      </c>
      <c r="F5" s="18">
        <v>161562.12</v>
      </c>
    </row>
    <row r="6" spans="1:6" x14ac:dyDescent="0.25">
      <c r="A6" s="17" t="s">
        <v>47</v>
      </c>
      <c r="B6" s="17" t="s">
        <v>48</v>
      </c>
      <c r="C6" s="17" t="s">
        <v>42</v>
      </c>
      <c r="D6" s="18">
        <v>110781.79999999999</v>
      </c>
      <c r="E6" s="18">
        <v>211146.9</v>
      </c>
      <c r="F6" s="18">
        <v>193640.22</v>
      </c>
    </row>
    <row r="7" spans="1:6" x14ac:dyDescent="0.25">
      <c r="A7" s="17" t="s">
        <v>49</v>
      </c>
      <c r="B7" s="17" t="s">
        <v>50</v>
      </c>
      <c r="C7" s="17" t="s">
        <v>42</v>
      </c>
      <c r="D7" s="18">
        <v>183882.6</v>
      </c>
      <c r="E7" s="18">
        <v>98331.9</v>
      </c>
      <c r="F7" s="18">
        <v>63460.68</v>
      </c>
    </row>
    <row r="8" spans="1:6" x14ac:dyDescent="0.25">
      <c r="A8" s="17" t="s">
        <v>51</v>
      </c>
      <c r="B8" s="17" t="s">
        <v>52</v>
      </c>
      <c r="C8" s="17" t="s">
        <v>42</v>
      </c>
      <c r="D8" s="18">
        <v>158582.54999999999</v>
      </c>
      <c r="E8" s="18">
        <v>145213.95000000001</v>
      </c>
      <c r="F8" s="18">
        <v>129145.92</v>
      </c>
    </row>
    <row r="9" spans="1:6" x14ac:dyDescent="0.25">
      <c r="A9" s="17" t="s">
        <v>53</v>
      </c>
      <c r="B9" s="17" t="s">
        <v>54</v>
      </c>
      <c r="C9" s="17" t="s">
        <v>42</v>
      </c>
      <c r="D9" s="18">
        <v>145977.9</v>
      </c>
      <c r="E9" s="18">
        <v>109320.15</v>
      </c>
      <c r="F9" s="18">
        <v>89905.62000000001</v>
      </c>
    </row>
    <row r="10" spans="1:6" x14ac:dyDescent="0.25">
      <c r="A10" s="17" t="s">
        <v>55</v>
      </c>
      <c r="B10" s="17" t="s">
        <v>56</v>
      </c>
      <c r="C10" s="17" t="s">
        <v>42</v>
      </c>
      <c r="D10" s="18">
        <v>103628.15</v>
      </c>
      <c r="E10" s="18">
        <v>71011.350000000006</v>
      </c>
      <c r="F10" s="18">
        <v>66347.64</v>
      </c>
    </row>
    <row r="11" spans="1:6" x14ac:dyDescent="0.25">
      <c r="A11" s="17" t="s">
        <v>57</v>
      </c>
      <c r="B11" s="17" t="s">
        <v>58</v>
      </c>
      <c r="C11" s="17" t="s">
        <v>59</v>
      </c>
      <c r="D11" s="18">
        <v>26571.850000000006</v>
      </c>
      <c r="E11" s="18">
        <v>65905.350000000006</v>
      </c>
      <c r="F11" s="18">
        <v>45437.88</v>
      </c>
    </row>
    <row r="12" spans="1:6" x14ac:dyDescent="0.25">
      <c r="A12" s="17" t="s">
        <v>60</v>
      </c>
      <c r="B12" s="17" t="s">
        <v>61</v>
      </c>
      <c r="C12" s="17" t="s">
        <v>42</v>
      </c>
      <c r="D12" s="18">
        <v>60112.95</v>
      </c>
      <c r="E12" s="18">
        <v>62968.25</v>
      </c>
      <c r="F12" s="18">
        <v>57043.68</v>
      </c>
    </row>
    <row r="13" spans="1:6" x14ac:dyDescent="0.25">
      <c r="A13" s="17" t="s">
        <v>62</v>
      </c>
      <c r="B13" s="17" t="s">
        <v>63</v>
      </c>
      <c r="C13" s="17" t="s">
        <v>42</v>
      </c>
      <c r="D13" s="18">
        <v>202845.05</v>
      </c>
      <c r="E13" s="18">
        <v>197846.11666666667</v>
      </c>
      <c r="F13" s="18">
        <v>122196.59999999999</v>
      </c>
    </row>
    <row r="14" spans="1:6" x14ac:dyDescent="0.25">
      <c r="A14" s="17" t="s">
        <v>64</v>
      </c>
      <c r="B14" s="17" t="s">
        <v>65</v>
      </c>
      <c r="C14" s="17" t="s">
        <v>42</v>
      </c>
      <c r="D14" s="18">
        <v>54654.9</v>
      </c>
      <c r="E14" s="18">
        <v>56851.4</v>
      </c>
      <c r="F14" s="18">
        <v>64654.38</v>
      </c>
    </row>
    <row r="15" spans="1:6" x14ac:dyDescent="0.25">
      <c r="A15" s="17" t="s">
        <v>66</v>
      </c>
      <c r="B15" s="17" t="s">
        <v>67</v>
      </c>
      <c r="C15" s="17" t="s">
        <v>59</v>
      </c>
      <c r="D15" s="18">
        <v>53107.100000000006</v>
      </c>
      <c r="E15" s="18">
        <v>44641.85</v>
      </c>
      <c r="F15" s="18">
        <v>38978.1</v>
      </c>
    </row>
    <row r="16" spans="1:6" x14ac:dyDescent="0.25">
      <c r="A16" s="17" t="s">
        <v>68</v>
      </c>
      <c r="B16" s="17" t="s">
        <v>69</v>
      </c>
      <c r="C16" s="17" t="s">
        <v>42</v>
      </c>
      <c r="D16" s="18">
        <v>0</v>
      </c>
      <c r="E16" s="18">
        <v>7737.2</v>
      </c>
      <c r="F16" s="18">
        <v>6727.5</v>
      </c>
    </row>
    <row r="17" spans="1:6" x14ac:dyDescent="0.25">
      <c r="A17" s="17" t="s">
        <v>70</v>
      </c>
      <c r="B17" s="17" t="s">
        <v>71</v>
      </c>
      <c r="C17" s="17" t="s">
        <v>42</v>
      </c>
      <c r="D17" s="18">
        <v>36826.949999999997</v>
      </c>
      <c r="E17" s="18">
        <v>58261.3</v>
      </c>
      <c r="F17" s="18">
        <v>56171.519999999997</v>
      </c>
    </row>
    <row r="18" spans="1:6" x14ac:dyDescent="0.25">
      <c r="A18" s="17" t="s">
        <v>72</v>
      </c>
      <c r="B18" s="17" t="s">
        <v>73</v>
      </c>
      <c r="C18" s="17" t="s">
        <v>42</v>
      </c>
      <c r="D18" s="18">
        <v>16077.599999999999</v>
      </c>
      <c r="E18" s="18">
        <v>47645.65</v>
      </c>
      <c r="F18" s="18">
        <v>43717.02</v>
      </c>
    </row>
    <row r="19" spans="1:6" x14ac:dyDescent="0.25">
      <c r="A19" s="17" t="s">
        <v>74</v>
      </c>
      <c r="B19" s="17" t="s">
        <v>75</v>
      </c>
      <c r="C19" s="17" t="s">
        <v>42</v>
      </c>
      <c r="D19" s="18">
        <v>66035.399999999994</v>
      </c>
      <c r="E19" s="18">
        <v>41765</v>
      </c>
      <c r="F19" s="18">
        <v>41253.719999999994</v>
      </c>
    </row>
    <row r="20" spans="1:6" x14ac:dyDescent="0.25">
      <c r="A20" s="17" t="s">
        <v>76</v>
      </c>
      <c r="B20" s="17" t="s">
        <v>77</v>
      </c>
      <c r="C20" s="17" t="s">
        <v>42</v>
      </c>
      <c r="D20" s="18">
        <v>21091</v>
      </c>
      <c r="E20" s="18">
        <v>28820.35</v>
      </c>
      <c r="F20" s="18">
        <v>21054.66</v>
      </c>
    </row>
    <row r="21" spans="1:6" x14ac:dyDescent="0.25">
      <c r="A21" s="17" t="s">
        <v>78</v>
      </c>
      <c r="B21" s="17" t="s">
        <v>79</v>
      </c>
      <c r="C21" s="17" t="s">
        <v>42</v>
      </c>
      <c r="D21" s="18">
        <v>36578</v>
      </c>
      <c r="E21" s="18">
        <v>40000</v>
      </c>
      <c r="F21" s="18">
        <v>43781.88</v>
      </c>
    </row>
    <row r="22" spans="1:6" x14ac:dyDescent="0.25">
      <c r="A22" s="17" t="s">
        <v>80</v>
      </c>
      <c r="B22" s="17" t="s">
        <v>81</v>
      </c>
      <c r="C22" s="17" t="s">
        <v>42</v>
      </c>
      <c r="D22" s="18">
        <v>48871.4</v>
      </c>
      <c r="E22" s="18">
        <v>36230.75</v>
      </c>
      <c r="F22" s="18">
        <v>41152.980000000003</v>
      </c>
    </row>
    <row r="23" spans="1:6" x14ac:dyDescent="0.25">
      <c r="A23" s="17" t="s">
        <v>82</v>
      </c>
      <c r="B23" s="17" t="s">
        <v>83</v>
      </c>
      <c r="C23" s="17" t="s">
        <v>42</v>
      </c>
      <c r="D23" s="18">
        <v>53021</v>
      </c>
      <c r="E23" s="18">
        <v>50000</v>
      </c>
      <c r="F23" s="18">
        <v>48000</v>
      </c>
    </row>
    <row r="24" spans="1:6" x14ac:dyDescent="0.25">
      <c r="A24" s="17" t="s">
        <v>84</v>
      </c>
      <c r="B24" s="17" t="s">
        <v>85</v>
      </c>
      <c r="C24" s="17" t="s">
        <v>59</v>
      </c>
      <c r="D24" s="18">
        <v>76000</v>
      </c>
      <c r="E24" s="18">
        <v>52000</v>
      </c>
      <c r="F24" s="18">
        <v>30976.859999999997</v>
      </c>
    </row>
    <row r="25" spans="1:6" x14ac:dyDescent="0.25">
      <c r="A25" s="17" t="s">
        <v>86</v>
      </c>
      <c r="B25" s="17" t="s">
        <v>87</v>
      </c>
      <c r="C25" s="17" t="s">
        <v>42</v>
      </c>
      <c r="D25" s="18">
        <v>110569.4</v>
      </c>
      <c r="E25" s="18">
        <v>56399.45</v>
      </c>
      <c r="F25" s="18">
        <v>31762.080000000002</v>
      </c>
    </row>
    <row r="26" spans="1:6" x14ac:dyDescent="0.25">
      <c r="A26" s="17" t="s">
        <v>88</v>
      </c>
      <c r="B26" s="17" t="s">
        <v>89</v>
      </c>
      <c r="C26" s="17" t="s">
        <v>42</v>
      </c>
      <c r="D26" s="18">
        <v>35442.1</v>
      </c>
      <c r="E26" s="18">
        <v>45265.250000000007</v>
      </c>
      <c r="F26" s="18">
        <v>34542.78</v>
      </c>
    </row>
    <row r="27" spans="1:6" x14ac:dyDescent="0.25">
      <c r="A27" s="17" t="s">
        <v>90</v>
      </c>
      <c r="B27" s="17" t="s">
        <v>91</v>
      </c>
      <c r="C27" s="17" t="s">
        <v>42</v>
      </c>
      <c r="D27" s="18">
        <v>3109.1000000000004</v>
      </c>
      <c r="E27" s="18">
        <v>5463.65</v>
      </c>
      <c r="F27" s="18">
        <v>7116.66</v>
      </c>
    </row>
    <row r="28" spans="1:6" x14ac:dyDescent="0.25">
      <c r="A28" s="17" t="s">
        <v>92</v>
      </c>
      <c r="B28" s="17" t="s">
        <v>93</v>
      </c>
      <c r="C28" s="17" t="s">
        <v>42</v>
      </c>
      <c r="D28" s="18">
        <v>33489.85</v>
      </c>
      <c r="E28" s="18">
        <v>30427.85</v>
      </c>
      <c r="F28" s="18">
        <v>33393.24</v>
      </c>
    </row>
    <row r="29" spans="1:6" x14ac:dyDescent="0.25">
      <c r="A29" s="17" t="s">
        <v>94</v>
      </c>
      <c r="B29" s="17" t="s">
        <v>95</v>
      </c>
      <c r="C29" s="17" t="s">
        <v>59</v>
      </c>
      <c r="D29" s="18">
        <v>59912.7</v>
      </c>
      <c r="E29" s="18">
        <v>38284.716666666674</v>
      </c>
      <c r="F29" s="18">
        <v>22473.3</v>
      </c>
    </row>
    <row r="30" spans="1:6" x14ac:dyDescent="0.25">
      <c r="A30" s="17" t="s">
        <v>96</v>
      </c>
      <c r="B30" s="17" t="s">
        <v>97</v>
      </c>
      <c r="C30" s="17" t="s">
        <v>42</v>
      </c>
      <c r="D30" s="18">
        <v>41472.65</v>
      </c>
      <c r="E30" s="18">
        <v>25604.75</v>
      </c>
      <c r="F30" s="18">
        <v>18011.759999999998</v>
      </c>
    </row>
    <row r="31" spans="1:6" x14ac:dyDescent="0.25">
      <c r="A31" s="17" t="s">
        <v>98</v>
      </c>
      <c r="B31" s="17" t="s">
        <v>99</v>
      </c>
      <c r="C31" s="17" t="s">
        <v>42</v>
      </c>
      <c r="D31" s="18">
        <v>11530.949999999997</v>
      </c>
      <c r="E31" s="18">
        <v>54951.65</v>
      </c>
      <c r="F31" s="18">
        <v>49439.88</v>
      </c>
    </row>
    <row r="32" spans="1:6" x14ac:dyDescent="0.25">
      <c r="A32" s="17" t="s">
        <v>100</v>
      </c>
      <c r="B32" s="17" t="s">
        <v>101</v>
      </c>
      <c r="C32" s="17" t="s">
        <v>59</v>
      </c>
      <c r="D32" s="18">
        <v>35000</v>
      </c>
      <c r="E32" s="18">
        <v>25164.3</v>
      </c>
      <c r="F32" s="18">
        <v>18970.859999999997</v>
      </c>
    </row>
    <row r="33" spans="1:6" x14ac:dyDescent="0.25">
      <c r="A33" s="17" t="s">
        <v>102</v>
      </c>
      <c r="B33" s="17" t="s">
        <v>103</v>
      </c>
      <c r="C33" s="17" t="s">
        <v>42</v>
      </c>
      <c r="D33" s="18">
        <v>17593</v>
      </c>
      <c r="E33" s="18">
        <v>24272.666666666668</v>
      </c>
      <c r="F33" s="18">
        <v>0</v>
      </c>
    </row>
    <row r="34" spans="1:6" x14ac:dyDescent="0.25">
      <c r="A34" s="17" t="s">
        <v>104</v>
      </c>
      <c r="B34" s="17" t="s">
        <v>105</v>
      </c>
      <c r="C34" s="17" t="s">
        <v>42</v>
      </c>
      <c r="D34" s="18">
        <v>36858.65</v>
      </c>
      <c r="E34" s="18">
        <v>55852.566666666666</v>
      </c>
      <c r="F34" s="18">
        <v>17345.22</v>
      </c>
    </row>
    <row r="35" spans="1:6" x14ac:dyDescent="0.25">
      <c r="A35" s="17" t="s">
        <v>106</v>
      </c>
      <c r="B35" s="17" t="s">
        <v>107</v>
      </c>
      <c r="C35" s="17" t="s">
        <v>42</v>
      </c>
      <c r="D35" s="18">
        <v>31095.5</v>
      </c>
      <c r="E35" s="18">
        <v>38924.23333333333</v>
      </c>
      <c r="F35" s="18">
        <v>23454.48</v>
      </c>
    </row>
    <row r="36" spans="1:6" x14ac:dyDescent="0.25">
      <c r="A36" s="17" t="s">
        <v>108</v>
      </c>
      <c r="B36" s="17" t="s">
        <v>109</v>
      </c>
      <c r="C36" s="17" t="s">
        <v>42</v>
      </c>
      <c r="D36" s="18">
        <v>52801.1</v>
      </c>
      <c r="E36" s="18">
        <v>36599.9</v>
      </c>
      <c r="F36" s="18">
        <v>30028.799999999999</v>
      </c>
    </row>
    <row r="37" spans="1:6" x14ac:dyDescent="0.25">
      <c r="A37" s="17" t="s">
        <v>110</v>
      </c>
      <c r="B37" s="17" t="s">
        <v>111</v>
      </c>
      <c r="C37" s="17" t="s">
        <v>42</v>
      </c>
      <c r="D37" s="18">
        <v>34042.699999999997</v>
      </c>
      <c r="E37" s="18">
        <v>26458.35</v>
      </c>
      <c r="F37" s="18">
        <v>12018.42</v>
      </c>
    </row>
    <row r="38" spans="1:6" x14ac:dyDescent="0.25">
      <c r="A38" s="17" t="s">
        <v>112</v>
      </c>
      <c r="B38" s="17" t="s">
        <v>113</v>
      </c>
      <c r="C38" s="17" t="s">
        <v>42</v>
      </c>
      <c r="D38" s="18">
        <v>30378.75</v>
      </c>
      <c r="E38" s="18">
        <v>49637.05</v>
      </c>
      <c r="F38" s="18">
        <v>6538.44</v>
      </c>
    </row>
    <row r="39" spans="1:6" x14ac:dyDescent="0.25">
      <c r="A39" s="17" t="s">
        <v>114</v>
      </c>
      <c r="B39" s="17" t="s">
        <v>115</v>
      </c>
      <c r="C39" s="17" t="s">
        <v>42</v>
      </c>
      <c r="D39" s="18">
        <v>8414.4500000000007</v>
      </c>
      <c r="E39" s="18">
        <v>9361</v>
      </c>
      <c r="F39" s="18">
        <v>7468.5599999999995</v>
      </c>
    </row>
    <row r="40" spans="1:6" x14ac:dyDescent="0.25">
      <c r="A40" s="17" t="s">
        <v>116</v>
      </c>
      <c r="B40" s="17" t="s">
        <v>117</v>
      </c>
      <c r="C40" s="17" t="s">
        <v>42</v>
      </c>
      <c r="D40" s="18">
        <v>22494.55</v>
      </c>
      <c r="E40" s="18">
        <v>17462.75</v>
      </c>
      <c r="F40" s="18">
        <v>15916.92</v>
      </c>
    </row>
    <row r="41" spans="1:6" x14ac:dyDescent="0.25">
      <c r="A41" s="17" t="s">
        <v>118</v>
      </c>
      <c r="B41" s="17" t="s">
        <v>119</v>
      </c>
      <c r="C41" s="17" t="s">
        <v>42</v>
      </c>
      <c r="D41" s="18">
        <v>13451.5</v>
      </c>
      <c r="E41" s="18">
        <v>32829.966666666667</v>
      </c>
      <c r="F41" s="18">
        <v>20415.719999999998</v>
      </c>
    </row>
    <row r="42" spans="1:6" x14ac:dyDescent="0.25">
      <c r="A42" s="17" t="s">
        <v>120</v>
      </c>
      <c r="B42" s="17" t="s">
        <v>121</v>
      </c>
      <c r="C42" s="17" t="s">
        <v>42</v>
      </c>
      <c r="D42" s="18">
        <v>31596.3</v>
      </c>
      <c r="E42" s="18">
        <v>20834.55</v>
      </c>
      <c r="F42" s="18">
        <v>21453.48</v>
      </c>
    </row>
    <row r="43" spans="1:6" x14ac:dyDescent="0.25">
      <c r="A43" s="17" t="s">
        <v>122</v>
      </c>
      <c r="B43" s="17" t="s">
        <v>123</v>
      </c>
      <c r="C43" s="17" t="s">
        <v>42</v>
      </c>
      <c r="D43" s="18">
        <v>24439.1</v>
      </c>
      <c r="E43" s="18">
        <v>21038.1</v>
      </c>
      <c r="F43" s="18">
        <v>22082.76</v>
      </c>
    </row>
    <row r="44" spans="1:6" x14ac:dyDescent="0.25">
      <c r="A44" s="17" t="s">
        <v>124</v>
      </c>
      <c r="B44" s="17" t="s">
        <v>125</v>
      </c>
      <c r="C44" s="17" t="s">
        <v>42</v>
      </c>
      <c r="D44" s="18">
        <v>0</v>
      </c>
      <c r="E44" s="18">
        <v>12299.016666666666</v>
      </c>
      <c r="F44" s="18">
        <v>9586.86</v>
      </c>
    </row>
    <row r="45" spans="1:6" x14ac:dyDescent="0.25">
      <c r="A45" s="17" t="s">
        <v>126</v>
      </c>
      <c r="B45" s="17" t="s">
        <v>127</v>
      </c>
      <c r="C45" s="17" t="s">
        <v>42</v>
      </c>
      <c r="D45" s="18">
        <v>7060</v>
      </c>
      <c r="E45" s="18">
        <v>2506.5333333333333</v>
      </c>
      <c r="F45" s="18">
        <v>0</v>
      </c>
    </row>
    <row r="46" spans="1:6" x14ac:dyDescent="0.25">
      <c r="A46" s="17" t="s">
        <v>128</v>
      </c>
      <c r="B46" s="17" t="s">
        <v>129</v>
      </c>
      <c r="C46" s="17" t="s">
        <v>59</v>
      </c>
      <c r="D46" s="18">
        <v>34000</v>
      </c>
      <c r="E46" s="18">
        <v>24000</v>
      </c>
      <c r="F46" s="18">
        <v>7838.4</v>
      </c>
    </row>
    <row r="47" spans="1:6" x14ac:dyDescent="0.25">
      <c r="A47" s="17" t="s">
        <v>130</v>
      </c>
      <c r="B47" s="17" t="s">
        <v>131</v>
      </c>
      <c r="C47" s="17" t="s">
        <v>42</v>
      </c>
      <c r="D47" s="18">
        <v>16868.8</v>
      </c>
      <c r="E47" s="18">
        <v>8965.4</v>
      </c>
      <c r="F47" s="18">
        <v>5928.48</v>
      </c>
    </row>
    <row r="48" spans="1:6" x14ac:dyDescent="0.25">
      <c r="A48" s="17" t="s">
        <v>132</v>
      </c>
      <c r="B48" s="17" t="s">
        <v>133</v>
      </c>
      <c r="C48" s="17" t="s">
        <v>42</v>
      </c>
      <c r="D48" s="18">
        <v>26898.5</v>
      </c>
      <c r="E48" s="18">
        <v>29151.416666666668</v>
      </c>
      <c r="F48" s="18">
        <v>27841.5</v>
      </c>
    </row>
    <row r="49" spans="1:6" x14ac:dyDescent="0.25">
      <c r="A49" s="17" t="s">
        <v>134</v>
      </c>
      <c r="B49" s="17" t="s">
        <v>135</v>
      </c>
      <c r="C49" s="17" t="s">
        <v>42</v>
      </c>
      <c r="D49" s="18">
        <v>0</v>
      </c>
      <c r="E49" s="18">
        <v>16016.883333333331</v>
      </c>
      <c r="F49" s="18">
        <v>15355.259999999998</v>
      </c>
    </row>
    <row r="50" spans="1:6" x14ac:dyDescent="0.25">
      <c r="A50" s="17" t="s">
        <v>136</v>
      </c>
      <c r="B50" s="17" t="s">
        <v>137</v>
      </c>
      <c r="C50" s="17" t="s">
        <v>42</v>
      </c>
      <c r="D50" s="18">
        <v>2267.0499999999993</v>
      </c>
      <c r="E50" s="18">
        <v>19651.5</v>
      </c>
      <c r="F50" s="18">
        <v>12305.46</v>
      </c>
    </row>
    <row r="51" spans="1:6" x14ac:dyDescent="0.25">
      <c r="A51" s="17" t="s">
        <v>138</v>
      </c>
      <c r="B51" s="17" t="s">
        <v>139</v>
      </c>
      <c r="C51" s="17" t="s">
        <v>42</v>
      </c>
      <c r="D51" s="18">
        <v>0</v>
      </c>
      <c r="E51" s="18">
        <v>1440</v>
      </c>
      <c r="F51" s="18">
        <v>2529.6</v>
      </c>
    </row>
    <row r="52" spans="1:6" x14ac:dyDescent="0.25">
      <c r="A52" s="17" t="s">
        <v>140</v>
      </c>
      <c r="B52" s="17" t="s">
        <v>141</v>
      </c>
      <c r="C52" s="17" t="s">
        <v>42</v>
      </c>
      <c r="D52" s="18">
        <v>1973.9499999999998</v>
      </c>
      <c r="E52" s="18">
        <v>2853.15</v>
      </c>
      <c r="F52" s="18">
        <v>3064.98</v>
      </c>
    </row>
    <row r="53" spans="1:6" x14ac:dyDescent="0.25">
      <c r="A53" s="17" t="s">
        <v>142</v>
      </c>
      <c r="B53" s="17" t="s">
        <v>143</v>
      </c>
      <c r="C53" s="17" t="s">
        <v>42</v>
      </c>
      <c r="D53" s="18">
        <v>5863.5</v>
      </c>
      <c r="E53" s="18">
        <v>15104.1</v>
      </c>
      <c r="F53" s="18">
        <v>13118.279999999999</v>
      </c>
    </row>
    <row r="54" spans="1:6" x14ac:dyDescent="0.25">
      <c r="A54" s="17" t="s">
        <v>144</v>
      </c>
      <c r="B54" s="17" t="s">
        <v>145</v>
      </c>
      <c r="C54" s="17" t="s">
        <v>42</v>
      </c>
      <c r="D54" s="18">
        <v>9765.9500000000007</v>
      </c>
      <c r="E54" s="18">
        <v>12956.050000000001</v>
      </c>
      <c r="F54" s="18">
        <v>8898.24</v>
      </c>
    </row>
    <row r="55" spans="1:6" x14ac:dyDescent="0.25">
      <c r="A55" s="17" t="s">
        <v>146</v>
      </c>
      <c r="B55" s="17" t="s">
        <v>147</v>
      </c>
      <c r="C55" s="17" t="s">
        <v>42</v>
      </c>
      <c r="D55" s="18">
        <v>3456.3500000000004</v>
      </c>
      <c r="E55" s="18">
        <v>13104.35</v>
      </c>
      <c r="F55" s="18">
        <v>13612.32</v>
      </c>
    </row>
    <row r="56" spans="1:6" x14ac:dyDescent="0.25">
      <c r="A56" s="17" t="s">
        <v>148</v>
      </c>
      <c r="B56" s="17" t="s">
        <v>149</v>
      </c>
      <c r="C56" s="17" t="s">
        <v>42</v>
      </c>
      <c r="D56" s="18">
        <v>0</v>
      </c>
      <c r="E56" s="18">
        <v>10905.85</v>
      </c>
      <c r="F56" s="18">
        <v>8257.92</v>
      </c>
    </row>
    <row r="57" spans="1:6" x14ac:dyDescent="0.25">
      <c r="A57" s="17" t="s">
        <v>150</v>
      </c>
      <c r="B57" s="17" t="s">
        <v>151</v>
      </c>
      <c r="C57" s="17" t="s">
        <v>42</v>
      </c>
      <c r="D57" s="18">
        <v>4030.6499999999996</v>
      </c>
      <c r="E57" s="18">
        <v>3363.75</v>
      </c>
      <c r="F57" s="18">
        <v>1918.1999999999998</v>
      </c>
    </row>
    <row r="58" spans="1:6" x14ac:dyDescent="0.25">
      <c r="A58" s="17" t="s">
        <v>152</v>
      </c>
      <c r="B58" s="17" t="s">
        <v>153</v>
      </c>
      <c r="C58" s="17" t="s">
        <v>42</v>
      </c>
      <c r="D58" s="18">
        <v>14105.5</v>
      </c>
      <c r="E58" s="18">
        <v>10338.5</v>
      </c>
      <c r="F58" s="18">
        <v>10154.040000000001</v>
      </c>
    </row>
    <row r="59" spans="1:6" x14ac:dyDescent="0.25">
      <c r="A59" s="17" t="s">
        <v>154</v>
      </c>
      <c r="B59" s="17" t="s">
        <v>155</v>
      </c>
      <c r="C59" s="17" t="s">
        <v>42</v>
      </c>
      <c r="D59" s="18">
        <v>1183.3000000000002</v>
      </c>
      <c r="E59" s="18">
        <v>1488.1</v>
      </c>
      <c r="F59" s="18">
        <v>1367.5800000000002</v>
      </c>
    </row>
    <row r="60" spans="1:6" x14ac:dyDescent="0.25">
      <c r="A60" s="17" t="s">
        <v>156</v>
      </c>
      <c r="B60" s="17" t="s">
        <v>157</v>
      </c>
      <c r="C60" s="17" t="s">
        <v>42</v>
      </c>
      <c r="D60" s="18">
        <v>6073.35</v>
      </c>
      <c r="E60" s="18">
        <v>8053.45</v>
      </c>
      <c r="F60" s="18">
        <v>7115.28</v>
      </c>
    </row>
    <row r="61" spans="1:6" x14ac:dyDescent="0.25">
      <c r="A61" s="17" t="s">
        <v>158</v>
      </c>
      <c r="B61" s="17" t="s">
        <v>159</v>
      </c>
      <c r="C61" s="17" t="s">
        <v>42</v>
      </c>
      <c r="D61" s="18">
        <v>8142.9</v>
      </c>
      <c r="E61" s="18">
        <v>7176</v>
      </c>
      <c r="F61" s="18">
        <v>5308.86</v>
      </c>
    </row>
    <row r="62" spans="1:6" x14ac:dyDescent="0.25">
      <c r="A62" s="17" t="s">
        <v>160</v>
      </c>
      <c r="B62" s="17" t="s">
        <v>161</v>
      </c>
      <c r="C62" s="17" t="s">
        <v>42</v>
      </c>
      <c r="D62" s="18">
        <v>0</v>
      </c>
      <c r="E62" s="18">
        <v>3565</v>
      </c>
      <c r="F62" s="18">
        <v>0</v>
      </c>
    </row>
    <row r="63" spans="1:6" x14ac:dyDescent="0.25">
      <c r="A63" s="17" t="s">
        <v>162</v>
      </c>
      <c r="B63" s="17" t="s">
        <v>163</v>
      </c>
      <c r="C63" s="17" t="s">
        <v>42</v>
      </c>
      <c r="D63" s="18">
        <v>2886.7999999999993</v>
      </c>
      <c r="E63" s="18">
        <v>8539.9</v>
      </c>
      <c r="F63" s="18">
        <v>9217.02</v>
      </c>
    </row>
    <row r="64" spans="1:6" x14ac:dyDescent="0.25">
      <c r="A64" s="17" t="s">
        <v>164</v>
      </c>
      <c r="B64" s="17" t="s">
        <v>165</v>
      </c>
      <c r="C64" s="17" t="s">
        <v>42</v>
      </c>
      <c r="D64" s="18">
        <v>3389.3500000000004</v>
      </c>
      <c r="E64" s="18">
        <v>13566.55</v>
      </c>
      <c r="F64" s="18">
        <v>13049.279999999999</v>
      </c>
    </row>
    <row r="65" spans="1:6" x14ac:dyDescent="0.25">
      <c r="A65" s="17" t="s">
        <v>166</v>
      </c>
      <c r="B65" s="17" t="s">
        <v>167</v>
      </c>
      <c r="C65" s="17" t="s">
        <v>42</v>
      </c>
      <c r="D65" s="18">
        <v>7133.65</v>
      </c>
      <c r="E65" s="18">
        <v>9733.6</v>
      </c>
      <c r="F65" s="18">
        <v>9559.26</v>
      </c>
    </row>
    <row r="66" spans="1:6" x14ac:dyDescent="0.25">
      <c r="A66" s="17" t="s">
        <v>168</v>
      </c>
      <c r="B66" s="17" t="s">
        <v>169</v>
      </c>
      <c r="C66" s="17" t="s">
        <v>42</v>
      </c>
      <c r="D66" s="18">
        <v>5388.4</v>
      </c>
      <c r="E66" s="18">
        <v>9266.7000000000007</v>
      </c>
      <c r="F66" s="18">
        <v>8863.74</v>
      </c>
    </row>
    <row r="67" spans="1:6" x14ac:dyDescent="0.25">
      <c r="A67" s="17" t="s">
        <v>170</v>
      </c>
      <c r="B67" s="17" t="s">
        <v>171</v>
      </c>
      <c r="C67" s="17" t="s">
        <v>42</v>
      </c>
      <c r="D67" s="18">
        <v>21051.1</v>
      </c>
      <c r="E67" s="18">
        <v>9460.5666666666675</v>
      </c>
      <c r="F67" s="18">
        <v>4261.4399999999996</v>
      </c>
    </row>
    <row r="68" spans="1:6" x14ac:dyDescent="0.25">
      <c r="A68" s="17" t="s">
        <v>172</v>
      </c>
      <c r="B68" s="17" t="s">
        <v>173</v>
      </c>
      <c r="C68" s="17" t="s">
        <v>42</v>
      </c>
      <c r="D68" s="18">
        <v>1752.6</v>
      </c>
      <c r="E68" s="18">
        <v>1841.15</v>
      </c>
      <c r="F68" s="18">
        <v>1309.6199999999999</v>
      </c>
    </row>
    <row r="69" spans="1:6" x14ac:dyDescent="0.25">
      <c r="A69" s="17" t="s">
        <v>174</v>
      </c>
      <c r="B69" s="17" t="s">
        <v>175</v>
      </c>
      <c r="C69" s="17" t="s">
        <v>42</v>
      </c>
      <c r="D69" s="18">
        <v>22590</v>
      </c>
      <c r="E69" s="18">
        <v>17586.666666666664</v>
      </c>
      <c r="F69" s="18">
        <v>0</v>
      </c>
    </row>
    <row r="70" spans="1:6" x14ac:dyDescent="0.25">
      <c r="A70" s="17" t="s">
        <v>176</v>
      </c>
      <c r="B70" s="17" t="s">
        <v>177</v>
      </c>
      <c r="C70" s="17" t="s">
        <v>42</v>
      </c>
      <c r="D70" s="18">
        <v>6130.65</v>
      </c>
      <c r="E70" s="18">
        <v>5977.7</v>
      </c>
      <c r="F70" s="18">
        <v>4744.4399999999996</v>
      </c>
    </row>
    <row r="71" spans="1:6" x14ac:dyDescent="0.25">
      <c r="A71" s="17" t="s">
        <v>178</v>
      </c>
      <c r="B71" s="17" t="s">
        <v>179</v>
      </c>
      <c r="C71" s="17" t="s">
        <v>42</v>
      </c>
      <c r="D71" s="18">
        <v>933</v>
      </c>
      <c r="E71" s="18">
        <v>5241.9333333333334</v>
      </c>
      <c r="F71" s="18">
        <v>0</v>
      </c>
    </row>
    <row r="72" spans="1:6" x14ac:dyDescent="0.25">
      <c r="A72" s="17" t="s">
        <v>180</v>
      </c>
      <c r="B72" s="17" t="s">
        <v>181</v>
      </c>
      <c r="C72" s="17" t="s">
        <v>42</v>
      </c>
      <c r="D72" s="18">
        <v>5572.7</v>
      </c>
      <c r="E72" s="18">
        <v>4152.6499999999996</v>
      </c>
      <c r="F72" s="18">
        <v>3850.2</v>
      </c>
    </row>
    <row r="73" spans="1:6" x14ac:dyDescent="0.25">
      <c r="A73" s="17" t="s">
        <v>182</v>
      </c>
      <c r="B73" s="17" t="s">
        <v>183</v>
      </c>
      <c r="C73" s="17" t="s">
        <v>42</v>
      </c>
      <c r="D73" s="18">
        <v>2298.25</v>
      </c>
      <c r="E73" s="18">
        <v>2072.3000000000002</v>
      </c>
      <c r="F73" s="18">
        <v>2001</v>
      </c>
    </row>
    <row r="74" spans="1:6" x14ac:dyDescent="0.25">
      <c r="A74" s="17" t="s">
        <v>184</v>
      </c>
      <c r="B74" s="17" t="s">
        <v>185</v>
      </c>
      <c r="C74" s="17" t="s">
        <v>42</v>
      </c>
      <c r="D74" s="18">
        <v>788.20000000000073</v>
      </c>
      <c r="E74" s="18">
        <v>5521.15</v>
      </c>
      <c r="F74" s="18">
        <v>4549.8599999999997</v>
      </c>
    </row>
    <row r="75" spans="1:6" x14ac:dyDescent="0.25">
      <c r="A75" s="17" t="s">
        <v>186</v>
      </c>
      <c r="B75" s="17" t="s">
        <v>187</v>
      </c>
      <c r="C75" s="17" t="s">
        <v>42</v>
      </c>
      <c r="D75" s="18">
        <v>4353.8</v>
      </c>
      <c r="E75" s="18">
        <v>5599.35</v>
      </c>
      <c r="F75" s="18">
        <v>4175.88</v>
      </c>
    </row>
    <row r="76" spans="1:6" x14ac:dyDescent="0.25">
      <c r="A76" s="17" t="s">
        <v>188</v>
      </c>
      <c r="B76" s="17" t="s">
        <v>189</v>
      </c>
      <c r="C76" s="17" t="s">
        <v>42</v>
      </c>
      <c r="D76" s="18">
        <v>2794.75</v>
      </c>
      <c r="E76" s="18">
        <v>4363.1000000000004</v>
      </c>
      <c r="F76" s="18">
        <v>4547.0999999999995</v>
      </c>
    </row>
    <row r="77" spans="1:6" x14ac:dyDescent="0.25">
      <c r="A77" s="17" t="s">
        <v>190</v>
      </c>
      <c r="B77" s="17" t="s">
        <v>191</v>
      </c>
      <c r="C77" s="17" t="s">
        <v>42</v>
      </c>
      <c r="D77" s="18">
        <v>1085.1999999999998</v>
      </c>
      <c r="E77" s="18">
        <v>6039.5</v>
      </c>
      <c r="F77" s="18">
        <v>5831.8799999999992</v>
      </c>
    </row>
    <row r="78" spans="1:6" x14ac:dyDescent="0.25">
      <c r="A78" s="17" t="s">
        <v>192</v>
      </c>
      <c r="B78" s="17" t="s">
        <v>193</v>
      </c>
      <c r="C78" s="17" t="s">
        <v>59</v>
      </c>
      <c r="D78" s="18">
        <v>9480.75</v>
      </c>
      <c r="E78" s="18">
        <v>15834.733333333334</v>
      </c>
      <c r="F78" s="18">
        <v>16622.82</v>
      </c>
    </row>
    <row r="79" spans="1:6" x14ac:dyDescent="0.25">
      <c r="A79" s="17" t="s">
        <v>194</v>
      </c>
      <c r="B79" s="17" t="s">
        <v>195</v>
      </c>
      <c r="C79" s="17" t="s">
        <v>42</v>
      </c>
      <c r="D79" s="18">
        <v>16000</v>
      </c>
      <c r="E79" s="18">
        <v>13754</v>
      </c>
      <c r="F79" s="18">
        <v>14374.08</v>
      </c>
    </row>
    <row r="80" spans="1:6" x14ac:dyDescent="0.25">
      <c r="A80" s="17" t="s">
        <v>196</v>
      </c>
      <c r="B80" s="17" t="s">
        <v>197</v>
      </c>
      <c r="C80" s="17" t="s">
        <v>42</v>
      </c>
      <c r="D80" s="18">
        <v>495.95000000000005</v>
      </c>
      <c r="E80" s="18">
        <v>1408.8166666666666</v>
      </c>
      <c r="F80" s="18">
        <v>659.64</v>
      </c>
    </row>
    <row r="81" spans="1:6" x14ac:dyDescent="0.25">
      <c r="A81" s="17" t="s">
        <v>198</v>
      </c>
      <c r="B81" s="17" t="s">
        <v>199</v>
      </c>
      <c r="C81" s="17" t="s">
        <v>42</v>
      </c>
      <c r="D81" s="18">
        <v>9569.2000000000007</v>
      </c>
      <c r="E81" s="18">
        <v>13069.866666666667</v>
      </c>
      <c r="F81" s="18">
        <v>9574.4399999999987</v>
      </c>
    </row>
    <row r="82" spans="1:6" x14ac:dyDescent="0.25">
      <c r="A82" s="17" t="s">
        <v>200</v>
      </c>
      <c r="B82" s="17" t="s">
        <v>201</v>
      </c>
      <c r="C82" s="17" t="s">
        <v>42</v>
      </c>
      <c r="D82" s="18">
        <v>8042.35</v>
      </c>
      <c r="E82" s="18">
        <v>4439</v>
      </c>
      <c r="F82" s="18">
        <v>2794.5</v>
      </c>
    </row>
    <row r="83" spans="1:6" x14ac:dyDescent="0.25">
      <c r="A83" s="17" t="s">
        <v>202</v>
      </c>
      <c r="B83" s="17" t="s">
        <v>203</v>
      </c>
      <c r="C83" s="17" t="s">
        <v>42</v>
      </c>
      <c r="D83" s="18">
        <v>32493.550000000003</v>
      </c>
      <c r="E83" s="18">
        <v>23922.633333333331</v>
      </c>
      <c r="F83" s="18">
        <v>16561.379999999997</v>
      </c>
    </row>
    <row r="84" spans="1:6" x14ac:dyDescent="0.25">
      <c r="A84" s="17" t="s">
        <v>204</v>
      </c>
      <c r="B84" s="17" t="s">
        <v>205</v>
      </c>
      <c r="C84" s="17" t="s">
        <v>42</v>
      </c>
      <c r="D84" s="18">
        <v>6729.4500000000007</v>
      </c>
      <c r="E84" s="18">
        <v>5445.25</v>
      </c>
      <c r="F84" s="18">
        <v>5807.04</v>
      </c>
    </row>
    <row r="85" spans="1:6" x14ac:dyDescent="0.25">
      <c r="A85" s="17" t="s">
        <v>206</v>
      </c>
      <c r="B85" s="17" t="s">
        <v>207</v>
      </c>
      <c r="C85" s="17" t="s">
        <v>42</v>
      </c>
      <c r="D85" s="18">
        <v>16436</v>
      </c>
      <c r="E85" s="18">
        <v>9456.7999999999993</v>
      </c>
      <c r="F85" s="18">
        <v>0</v>
      </c>
    </row>
    <row r="86" spans="1:6" x14ac:dyDescent="0.25">
      <c r="A86" s="17" t="s">
        <v>208</v>
      </c>
      <c r="B86" s="17" t="s">
        <v>209</v>
      </c>
      <c r="C86" s="17" t="s">
        <v>42</v>
      </c>
      <c r="D86" s="18">
        <v>16052</v>
      </c>
      <c r="E86" s="18">
        <v>9102</v>
      </c>
      <c r="F86" s="18">
        <v>0</v>
      </c>
    </row>
    <row r="87" spans="1:6" x14ac:dyDescent="0.25">
      <c r="A87" s="17" t="s">
        <v>210</v>
      </c>
      <c r="B87" s="17" t="s">
        <v>211</v>
      </c>
      <c r="C87" s="17" t="s">
        <v>42</v>
      </c>
      <c r="D87" s="18">
        <v>47693.8</v>
      </c>
      <c r="E87" s="18">
        <v>50414.433333333327</v>
      </c>
      <c r="F87" s="18">
        <v>38628.959999999999</v>
      </c>
    </row>
    <row r="88" spans="1:6" x14ac:dyDescent="0.25">
      <c r="A88" s="17" t="s">
        <v>212</v>
      </c>
      <c r="B88" s="17" t="s">
        <v>213</v>
      </c>
      <c r="C88" s="17" t="s">
        <v>42</v>
      </c>
      <c r="D88" s="18">
        <v>11218</v>
      </c>
      <c r="E88" s="18">
        <v>5153</v>
      </c>
      <c r="F88" s="18">
        <v>0</v>
      </c>
    </row>
    <row r="89" spans="1:6" x14ac:dyDescent="0.25">
      <c r="A89" s="17" t="s">
        <v>214</v>
      </c>
      <c r="B89" s="17" t="s">
        <v>215</v>
      </c>
      <c r="C89" s="17" t="s">
        <v>42</v>
      </c>
      <c r="D89" s="18">
        <v>47.100000000000364</v>
      </c>
      <c r="E89" s="18">
        <v>5500</v>
      </c>
      <c r="F89" s="18">
        <v>4341.4799999999996</v>
      </c>
    </row>
    <row r="90" spans="1:6" x14ac:dyDescent="0.25">
      <c r="A90" s="17" t="s">
        <v>216</v>
      </c>
      <c r="B90" s="17" t="s">
        <v>217</v>
      </c>
      <c r="C90" s="17" t="s">
        <v>42</v>
      </c>
      <c r="D90" s="18">
        <v>3866.3999999999996</v>
      </c>
      <c r="E90" s="18">
        <v>3705.3</v>
      </c>
      <c r="F90" s="18">
        <v>3777.06</v>
      </c>
    </row>
    <row r="91" spans="1:6" x14ac:dyDescent="0.25">
      <c r="A91" s="17" t="s">
        <v>218</v>
      </c>
      <c r="B91" s="17" t="s">
        <v>219</v>
      </c>
      <c r="C91" s="17" t="s">
        <v>42</v>
      </c>
      <c r="D91" s="18">
        <v>9852.65</v>
      </c>
      <c r="E91" s="18">
        <v>14617.849999999999</v>
      </c>
      <c r="F91" s="18">
        <v>8442.84</v>
      </c>
    </row>
    <row r="92" spans="1:6" x14ac:dyDescent="0.25">
      <c r="A92" s="17" t="s">
        <v>220</v>
      </c>
      <c r="B92" s="17" t="s">
        <v>221</v>
      </c>
      <c r="C92" s="17" t="s">
        <v>42</v>
      </c>
      <c r="D92" s="18">
        <v>1389.8999999999996</v>
      </c>
      <c r="E92" s="18">
        <v>4766.75</v>
      </c>
      <c r="F92" s="18">
        <v>3335.46</v>
      </c>
    </row>
    <row r="93" spans="1:6" x14ac:dyDescent="0.25">
      <c r="A93" s="17" t="s">
        <v>222</v>
      </c>
      <c r="B93" s="17" t="s">
        <v>223</v>
      </c>
      <c r="C93" s="17" t="s">
        <v>42</v>
      </c>
      <c r="D93" s="18">
        <v>10000</v>
      </c>
      <c r="E93" s="18">
        <v>10000</v>
      </c>
      <c r="F93" s="18">
        <v>5000</v>
      </c>
    </row>
    <row r="94" spans="1:6" x14ac:dyDescent="0.25">
      <c r="A94" s="17" t="s">
        <v>224</v>
      </c>
      <c r="B94" s="17" t="s">
        <v>225</v>
      </c>
      <c r="C94" s="17" t="s">
        <v>42</v>
      </c>
      <c r="D94" s="18">
        <v>6491.5</v>
      </c>
      <c r="E94" s="18">
        <v>3589.15</v>
      </c>
      <c r="F94" s="18">
        <v>3136.74</v>
      </c>
    </row>
    <row r="95" spans="1:6" x14ac:dyDescent="0.25">
      <c r="A95" s="17" t="s">
        <v>226</v>
      </c>
      <c r="B95" s="17" t="s">
        <v>227</v>
      </c>
      <c r="C95" s="17" t="s">
        <v>42</v>
      </c>
      <c r="D95" s="18">
        <v>4249.8</v>
      </c>
      <c r="E95" s="18">
        <v>3482.2</v>
      </c>
      <c r="F95" s="18">
        <v>3316.14</v>
      </c>
    </row>
    <row r="96" spans="1:6" x14ac:dyDescent="0.25">
      <c r="A96" s="17" t="s">
        <v>228</v>
      </c>
      <c r="B96" s="17" t="s">
        <v>229</v>
      </c>
      <c r="C96" s="17" t="s">
        <v>42</v>
      </c>
      <c r="D96" s="18">
        <v>9232.85</v>
      </c>
      <c r="E96" s="18">
        <v>5030.1000000000004</v>
      </c>
      <c r="F96" s="18">
        <v>6045.78</v>
      </c>
    </row>
    <row r="97" spans="1:6" x14ac:dyDescent="0.25">
      <c r="A97" s="17" t="s">
        <v>230</v>
      </c>
      <c r="B97" s="17" t="s">
        <v>231</v>
      </c>
      <c r="C97" s="17" t="s">
        <v>42</v>
      </c>
      <c r="D97" s="18">
        <v>10093.25</v>
      </c>
      <c r="E97" s="18">
        <v>7155.3</v>
      </c>
      <c r="F97" s="18">
        <v>6802.02</v>
      </c>
    </row>
    <row r="98" spans="1:6" x14ac:dyDescent="0.25">
      <c r="A98" s="17" t="s">
        <v>232</v>
      </c>
      <c r="B98" s="17" t="s">
        <v>233</v>
      </c>
      <c r="C98" s="17" t="s">
        <v>59</v>
      </c>
      <c r="D98" s="18">
        <v>2427.5</v>
      </c>
      <c r="E98" s="18">
        <v>3271.75</v>
      </c>
      <c r="F98" s="18">
        <v>3310.62</v>
      </c>
    </row>
    <row r="99" spans="1:6" x14ac:dyDescent="0.25">
      <c r="A99" s="17" t="s">
        <v>234</v>
      </c>
      <c r="B99" s="17" t="s">
        <v>235</v>
      </c>
      <c r="C99" s="17" t="s">
        <v>42</v>
      </c>
      <c r="D99" s="18">
        <v>12151.65</v>
      </c>
      <c r="E99" s="18">
        <v>13328.333333333332</v>
      </c>
      <c r="F99" s="18">
        <v>13748.46</v>
      </c>
    </row>
    <row r="100" spans="1:6" x14ac:dyDescent="0.25">
      <c r="A100" s="17" t="s">
        <v>236</v>
      </c>
      <c r="B100" s="17" t="s">
        <v>237</v>
      </c>
      <c r="C100" s="17" t="s">
        <v>42</v>
      </c>
      <c r="D100" s="18">
        <v>5939</v>
      </c>
      <c r="E100" s="18">
        <v>5526.3333333333339</v>
      </c>
      <c r="F100" s="18">
        <v>0</v>
      </c>
    </row>
    <row r="101" spans="1:6" x14ac:dyDescent="0.25">
      <c r="A101" s="17" t="s">
        <v>238</v>
      </c>
      <c r="B101" s="17" t="s">
        <v>239</v>
      </c>
      <c r="C101" s="17" t="s">
        <v>42</v>
      </c>
      <c r="D101" s="18">
        <v>3740.25</v>
      </c>
      <c r="E101" s="18">
        <v>2134.4</v>
      </c>
      <c r="F101" s="18">
        <v>1698.78</v>
      </c>
    </row>
    <row r="102" spans="1:6" x14ac:dyDescent="0.25">
      <c r="A102" s="17" t="s">
        <v>240</v>
      </c>
      <c r="B102" s="17" t="s">
        <v>241</v>
      </c>
      <c r="C102" s="17" t="s">
        <v>42</v>
      </c>
      <c r="D102" s="18">
        <v>4075.95</v>
      </c>
      <c r="E102" s="18">
        <v>3362.6</v>
      </c>
      <c r="F102" s="18">
        <v>2165.2199999999998</v>
      </c>
    </row>
    <row r="103" spans="1:6" x14ac:dyDescent="0.25">
      <c r="A103" s="17" t="s">
        <v>242</v>
      </c>
      <c r="B103" s="17" t="s">
        <v>243</v>
      </c>
      <c r="C103" s="17" t="s">
        <v>42</v>
      </c>
      <c r="D103" s="18">
        <v>1520</v>
      </c>
      <c r="E103" s="18">
        <v>1857.25</v>
      </c>
      <c r="F103" s="18">
        <v>1433.82</v>
      </c>
    </row>
    <row r="104" spans="1:6" x14ac:dyDescent="0.25">
      <c r="A104" s="17" t="s">
        <v>244</v>
      </c>
      <c r="B104" s="17" t="s">
        <v>245</v>
      </c>
      <c r="C104" s="17" t="s">
        <v>42</v>
      </c>
      <c r="D104" s="18">
        <v>8148.15</v>
      </c>
      <c r="E104" s="18">
        <v>6746.8499999999995</v>
      </c>
      <c r="F104" s="18">
        <v>3687.36</v>
      </c>
    </row>
    <row r="105" spans="1:6" x14ac:dyDescent="0.25">
      <c r="A105" s="17" t="s">
        <v>246</v>
      </c>
      <c r="B105" s="17" t="s">
        <v>247</v>
      </c>
      <c r="C105" s="17" t="s">
        <v>42</v>
      </c>
      <c r="D105" s="18">
        <v>1081.4000000000001</v>
      </c>
      <c r="E105" s="18">
        <v>2762.85</v>
      </c>
      <c r="F105" s="18">
        <v>2548.86</v>
      </c>
    </row>
    <row r="106" spans="1:6" x14ac:dyDescent="0.25">
      <c r="A106" s="17" t="s">
        <v>248</v>
      </c>
      <c r="B106" s="17" t="s">
        <v>249</v>
      </c>
      <c r="C106" s="17" t="s">
        <v>42</v>
      </c>
      <c r="D106" s="18">
        <v>401</v>
      </c>
      <c r="E106" s="18">
        <v>2500</v>
      </c>
      <c r="F106" s="18">
        <v>3000</v>
      </c>
    </row>
    <row r="107" spans="1:6" x14ac:dyDescent="0.25">
      <c r="A107" s="17" t="s">
        <v>250</v>
      </c>
      <c r="B107" s="17" t="s">
        <v>251</v>
      </c>
      <c r="C107" s="17" t="s">
        <v>59</v>
      </c>
      <c r="D107" s="18">
        <v>0</v>
      </c>
      <c r="E107" s="18">
        <v>2097.6</v>
      </c>
      <c r="F107" s="18">
        <v>1836.78</v>
      </c>
    </row>
    <row r="108" spans="1:6" x14ac:dyDescent="0.25">
      <c r="A108" s="17" t="s">
        <v>252</v>
      </c>
      <c r="B108" s="17" t="s">
        <v>253</v>
      </c>
      <c r="C108" s="17" t="s">
        <v>42</v>
      </c>
      <c r="D108" s="18">
        <v>0</v>
      </c>
      <c r="E108" s="18">
        <v>1440.95</v>
      </c>
      <c r="F108" s="18">
        <v>1057.08</v>
      </c>
    </row>
    <row r="109" spans="1:6" x14ac:dyDescent="0.25">
      <c r="A109" s="17" t="s">
        <v>254</v>
      </c>
      <c r="B109" s="17" t="s">
        <v>255</v>
      </c>
      <c r="C109" s="17" t="s">
        <v>42</v>
      </c>
      <c r="D109" s="18">
        <v>11623.75</v>
      </c>
      <c r="E109" s="18">
        <v>8957.35</v>
      </c>
      <c r="F109" s="18">
        <v>9712.4399999999987</v>
      </c>
    </row>
    <row r="110" spans="1:6" x14ac:dyDescent="0.25">
      <c r="A110" s="17" t="s">
        <v>256</v>
      </c>
      <c r="B110" s="17" t="s">
        <v>257</v>
      </c>
      <c r="C110" s="17" t="s">
        <v>42</v>
      </c>
      <c r="D110" s="18">
        <v>615.80000000000018</v>
      </c>
      <c r="E110" s="18">
        <v>2279.3000000000002</v>
      </c>
      <c r="F110" s="18">
        <v>2547.48</v>
      </c>
    </row>
    <row r="111" spans="1:6" x14ac:dyDescent="0.25">
      <c r="A111" s="17" t="s">
        <v>258</v>
      </c>
      <c r="B111" s="17" t="s">
        <v>259</v>
      </c>
      <c r="C111" s="17" t="s">
        <v>42</v>
      </c>
      <c r="D111" s="18">
        <v>0</v>
      </c>
      <c r="E111" s="18">
        <v>2716.85</v>
      </c>
      <c r="F111" s="18">
        <v>1362.06</v>
      </c>
    </row>
    <row r="112" spans="1:6" x14ac:dyDescent="0.25">
      <c r="A112" s="17" t="s">
        <v>260</v>
      </c>
      <c r="B112" s="17" t="s">
        <v>261</v>
      </c>
      <c r="C112" s="17" t="s">
        <v>42</v>
      </c>
      <c r="D112" s="18">
        <v>1017.0999999999999</v>
      </c>
      <c r="E112" s="18">
        <v>2070.9</v>
      </c>
      <c r="F112" s="18">
        <v>640.32000000000005</v>
      </c>
    </row>
    <row r="113" spans="1:6" x14ac:dyDescent="0.25">
      <c r="A113" s="17" t="s">
        <v>262</v>
      </c>
      <c r="B113" s="17" t="s">
        <v>263</v>
      </c>
      <c r="C113" s="17" t="s">
        <v>42</v>
      </c>
      <c r="D113" s="18">
        <v>7644</v>
      </c>
      <c r="E113" s="18">
        <v>9784.2000000000007</v>
      </c>
      <c r="F113" s="18">
        <v>0</v>
      </c>
    </row>
    <row r="114" spans="1:6" x14ac:dyDescent="0.25">
      <c r="A114" s="17" t="s">
        <v>264</v>
      </c>
      <c r="B114" s="17" t="s">
        <v>265</v>
      </c>
      <c r="C114" s="17" t="s">
        <v>42</v>
      </c>
      <c r="D114" s="18">
        <v>5005.3500000000004</v>
      </c>
      <c r="E114" s="18">
        <v>5633.7833333333328</v>
      </c>
      <c r="F114" s="18">
        <v>4494.24</v>
      </c>
    </row>
    <row r="115" spans="1:6" x14ac:dyDescent="0.25">
      <c r="A115" s="17" t="s">
        <v>266</v>
      </c>
      <c r="B115" s="17" t="s">
        <v>267</v>
      </c>
      <c r="C115" s="17" t="s">
        <v>42</v>
      </c>
      <c r="D115" s="18">
        <v>6050.15</v>
      </c>
      <c r="E115" s="18">
        <v>3762.8</v>
      </c>
      <c r="F115" s="18">
        <v>2921.46</v>
      </c>
    </row>
    <row r="116" spans="1:6" x14ac:dyDescent="0.25">
      <c r="A116" s="17" t="s">
        <v>268</v>
      </c>
      <c r="B116" s="17" t="s">
        <v>269</v>
      </c>
      <c r="C116" s="17" t="s">
        <v>59</v>
      </c>
      <c r="D116" s="18">
        <v>0</v>
      </c>
      <c r="E116" s="18">
        <v>7417.6333333333332</v>
      </c>
      <c r="F116" s="18">
        <v>6421.5</v>
      </c>
    </row>
    <row r="117" spans="1:6" x14ac:dyDescent="0.25">
      <c r="A117" s="17" t="s">
        <v>270</v>
      </c>
      <c r="B117" s="17" t="s">
        <v>271</v>
      </c>
      <c r="C117" s="17" t="s">
        <v>42</v>
      </c>
      <c r="D117" s="18">
        <v>4849.5</v>
      </c>
      <c r="E117" s="18">
        <v>8176.5</v>
      </c>
      <c r="F117" s="18">
        <v>6368.7</v>
      </c>
    </row>
    <row r="118" spans="1:6" x14ac:dyDescent="0.25">
      <c r="A118" s="17" t="s">
        <v>272</v>
      </c>
      <c r="B118" s="17" t="s">
        <v>273</v>
      </c>
      <c r="C118" s="17" t="s">
        <v>59</v>
      </c>
      <c r="D118" s="18">
        <v>7393.9500000000007</v>
      </c>
      <c r="E118" s="18">
        <v>11260.866666666667</v>
      </c>
      <c r="F118" s="18">
        <v>5527.26</v>
      </c>
    </row>
    <row r="119" spans="1:6" x14ac:dyDescent="0.25">
      <c r="A119" s="17" t="s">
        <v>274</v>
      </c>
      <c r="B119" s="17" t="s">
        <v>275</v>
      </c>
      <c r="C119" s="17" t="s">
        <v>42</v>
      </c>
      <c r="D119" s="18">
        <v>1066.9000000000001</v>
      </c>
      <c r="E119" s="18">
        <v>2366.4666666666667</v>
      </c>
      <c r="F119" s="18">
        <v>2506.08</v>
      </c>
    </row>
    <row r="120" spans="1:6" x14ac:dyDescent="0.25">
      <c r="A120" s="17" t="s">
        <v>276</v>
      </c>
      <c r="B120" s="17" t="s">
        <v>277</v>
      </c>
      <c r="C120" s="17" t="s">
        <v>42</v>
      </c>
      <c r="D120" s="18">
        <v>0</v>
      </c>
      <c r="E120" s="18">
        <v>1000</v>
      </c>
      <c r="F120" s="18">
        <v>0</v>
      </c>
    </row>
    <row r="121" spans="1:6" x14ac:dyDescent="0.25">
      <c r="A121" s="17" t="s">
        <v>278</v>
      </c>
      <c r="B121" s="17" t="s">
        <v>279</v>
      </c>
      <c r="C121" s="17" t="s">
        <v>59</v>
      </c>
      <c r="D121" s="18">
        <v>0</v>
      </c>
      <c r="E121" s="18">
        <v>3000</v>
      </c>
      <c r="F121" s="18">
        <v>3600</v>
      </c>
    </row>
    <row r="122" spans="1:6" x14ac:dyDescent="0.25">
      <c r="A122" s="17" t="s">
        <v>280</v>
      </c>
      <c r="B122" s="17" t="s">
        <v>281</v>
      </c>
      <c r="C122" s="17" t="s">
        <v>42</v>
      </c>
      <c r="D122" s="18">
        <v>0</v>
      </c>
      <c r="E122" s="18">
        <v>1200</v>
      </c>
      <c r="F122" s="18">
        <v>761.75999999999988</v>
      </c>
    </row>
    <row r="123" spans="1:6" x14ac:dyDescent="0.25">
      <c r="A123" s="17" t="s">
        <v>282</v>
      </c>
      <c r="B123" s="17" t="s">
        <v>283</v>
      </c>
      <c r="C123" s="17" t="s">
        <v>42</v>
      </c>
      <c r="D123" s="18">
        <v>0</v>
      </c>
      <c r="E123" s="18">
        <v>3502.5333333333328</v>
      </c>
      <c r="F123" s="18">
        <v>2439.6</v>
      </c>
    </row>
    <row r="124" spans="1:6" x14ac:dyDescent="0.25">
      <c r="A124" s="17" t="s">
        <v>284</v>
      </c>
      <c r="B124" s="17" t="s">
        <v>285</v>
      </c>
      <c r="C124" s="17" t="s">
        <v>42</v>
      </c>
      <c r="D124" s="18">
        <v>901.8</v>
      </c>
      <c r="E124" s="18">
        <v>910.8</v>
      </c>
      <c r="F124" s="18">
        <v>1051.56</v>
      </c>
    </row>
    <row r="125" spans="1:6" x14ac:dyDescent="0.25">
      <c r="A125" s="17" t="s">
        <v>286</v>
      </c>
      <c r="B125" s="17" t="s">
        <v>287</v>
      </c>
      <c r="C125" s="17" t="s">
        <v>42</v>
      </c>
      <c r="D125" s="18">
        <v>9497</v>
      </c>
      <c r="E125" s="18">
        <v>4344.9333333333334</v>
      </c>
      <c r="F125" s="18">
        <v>0</v>
      </c>
    </row>
    <row r="126" spans="1:6" x14ac:dyDescent="0.25">
      <c r="A126" s="17" t="s">
        <v>288</v>
      </c>
      <c r="B126" s="17" t="s">
        <v>289</v>
      </c>
      <c r="C126" s="17" t="s">
        <v>42</v>
      </c>
      <c r="D126" s="18">
        <v>0</v>
      </c>
      <c r="E126" s="18">
        <v>1500</v>
      </c>
      <c r="F126" s="18">
        <v>643.07999999999993</v>
      </c>
    </row>
    <row r="127" spans="1:6" x14ac:dyDescent="0.25">
      <c r="A127" s="17" t="s">
        <v>290</v>
      </c>
      <c r="B127" s="17" t="s">
        <v>291</v>
      </c>
      <c r="C127" s="17" t="s">
        <v>42</v>
      </c>
      <c r="D127" s="18">
        <v>1738.9</v>
      </c>
      <c r="E127" s="18">
        <v>1543.3</v>
      </c>
      <c r="F127" s="18">
        <v>1684.98</v>
      </c>
    </row>
    <row r="128" spans="1:6" x14ac:dyDescent="0.25">
      <c r="A128" s="17" t="s">
        <v>292</v>
      </c>
      <c r="B128" s="17" t="s">
        <v>293</v>
      </c>
      <c r="C128" s="17" t="s">
        <v>42</v>
      </c>
      <c r="D128" s="18">
        <v>3003.3500000000004</v>
      </c>
      <c r="E128" s="18">
        <v>5447.55</v>
      </c>
      <c r="F128" s="18">
        <v>5520</v>
      </c>
    </row>
    <row r="129" spans="1:6" x14ac:dyDescent="0.25">
      <c r="A129" s="17" t="s">
        <v>294</v>
      </c>
      <c r="B129" s="17" t="s">
        <v>295</v>
      </c>
      <c r="C129" s="17" t="s">
        <v>42</v>
      </c>
      <c r="D129" s="18">
        <v>17598</v>
      </c>
      <c r="E129" s="18">
        <v>4400</v>
      </c>
      <c r="F129" s="18">
        <v>5280</v>
      </c>
    </row>
    <row r="130" spans="1:6" x14ac:dyDescent="0.25">
      <c r="A130" s="17" t="s">
        <v>296</v>
      </c>
      <c r="B130" s="17" t="s">
        <v>297</v>
      </c>
      <c r="C130" s="17" t="s">
        <v>42</v>
      </c>
      <c r="D130" s="18">
        <v>8055</v>
      </c>
      <c r="E130" s="18">
        <v>3952</v>
      </c>
      <c r="F130" s="18">
        <v>0</v>
      </c>
    </row>
    <row r="131" spans="1:6" x14ac:dyDescent="0.25">
      <c r="A131" s="17" t="s">
        <v>298</v>
      </c>
      <c r="B131" s="17" t="s">
        <v>299</v>
      </c>
      <c r="C131" s="17" t="s">
        <v>42</v>
      </c>
      <c r="D131" s="18">
        <v>5000</v>
      </c>
      <c r="E131" s="18">
        <v>5000</v>
      </c>
      <c r="F131" s="18">
        <v>5000</v>
      </c>
    </row>
    <row r="132" spans="1:6" x14ac:dyDescent="0.25">
      <c r="A132" s="17" t="s">
        <v>300</v>
      </c>
      <c r="B132" s="17" t="s">
        <v>301</v>
      </c>
      <c r="C132" s="17" t="s">
        <v>42</v>
      </c>
      <c r="D132" s="18">
        <v>1989</v>
      </c>
      <c r="E132" s="18">
        <v>1638</v>
      </c>
      <c r="F132" s="18">
        <v>0</v>
      </c>
    </row>
    <row r="133" spans="1:6" x14ac:dyDescent="0.25">
      <c r="A133" s="17" t="s">
        <v>302</v>
      </c>
      <c r="B133" s="17" t="s">
        <v>303</v>
      </c>
      <c r="C133" s="17" t="s">
        <v>42</v>
      </c>
      <c r="D133" s="18">
        <v>8030</v>
      </c>
      <c r="E133" s="18">
        <v>2007</v>
      </c>
      <c r="F133" s="18">
        <v>2400</v>
      </c>
    </row>
    <row r="134" spans="1:6" x14ac:dyDescent="0.25">
      <c r="A134" s="17" t="s">
        <v>304</v>
      </c>
      <c r="B134" s="17" t="s">
        <v>305</v>
      </c>
      <c r="C134" s="17" t="s">
        <v>42</v>
      </c>
      <c r="D134" s="18">
        <v>15576</v>
      </c>
      <c r="E134" s="18">
        <v>3894</v>
      </c>
      <c r="F134" s="18">
        <v>3600</v>
      </c>
    </row>
    <row r="135" spans="1:6" x14ac:dyDescent="0.25">
      <c r="A135" s="17" t="s">
        <v>306</v>
      </c>
      <c r="B135" s="17" t="s">
        <v>307</v>
      </c>
      <c r="C135" s="17" t="s">
        <v>42</v>
      </c>
      <c r="D135" s="18">
        <v>0</v>
      </c>
      <c r="E135" s="18">
        <v>0</v>
      </c>
      <c r="F135" s="18">
        <v>0</v>
      </c>
    </row>
    <row r="136" spans="1:6" x14ac:dyDescent="0.25">
      <c r="A136" s="17" t="s">
        <v>308</v>
      </c>
      <c r="B136" s="17" t="s">
        <v>309</v>
      </c>
      <c r="C136" s="17" t="s">
        <v>42</v>
      </c>
      <c r="D136" s="18">
        <v>0</v>
      </c>
      <c r="E136" s="18">
        <v>0</v>
      </c>
      <c r="F136" s="18">
        <v>0</v>
      </c>
    </row>
    <row r="137" spans="1:6" x14ac:dyDescent="0.25">
      <c r="A137" s="17" t="s">
        <v>310</v>
      </c>
      <c r="B137" s="17" t="s">
        <v>311</v>
      </c>
      <c r="C137" s="17" t="s">
        <v>42</v>
      </c>
      <c r="D137" s="18">
        <v>0</v>
      </c>
      <c r="E137" s="18">
        <v>0</v>
      </c>
      <c r="F137" s="18">
        <v>0</v>
      </c>
    </row>
    <row r="138" spans="1:6" x14ac:dyDescent="0.25">
      <c r="A138" s="17" t="s">
        <v>312</v>
      </c>
      <c r="B138" s="17" t="s">
        <v>313</v>
      </c>
      <c r="C138" s="17" t="s">
        <v>42</v>
      </c>
      <c r="D138" s="18">
        <v>0</v>
      </c>
      <c r="E138" s="18">
        <v>0</v>
      </c>
      <c r="F138" s="18">
        <v>0</v>
      </c>
    </row>
    <row r="139" spans="1:6" x14ac:dyDescent="0.25">
      <c r="A139" s="17" t="s">
        <v>314</v>
      </c>
      <c r="B139" s="17" t="s">
        <v>315</v>
      </c>
      <c r="C139" s="17" t="s">
        <v>42</v>
      </c>
      <c r="D139" s="18">
        <v>0</v>
      </c>
      <c r="E139" s="18">
        <v>0</v>
      </c>
      <c r="F139" s="18">
        <v>0</v>
      </c>
    </row>
    <row r="140" spans="1:6" x14ac:dyDescent="0.25">
      <c r="A140" s="17" t="s">
        <v>316</v>
      </c>
      <c r="B140" s="17" t="s">
        <v>317</v>
      </c>
      <c r="C140" s="17" t="s">
        <v>59</v>
      </c>
      <c r="D140" s="18">
        <v>0</v>
      </c>
      <c r="E140" s="18">
        <v>0</v>
      </c>
      <c r="F140" s="18">
        <v>0</v>
      </c>
    </row>
    <row r="141" spans="1:6" x14ac:dyDescent="0.25">
      <c r="A141" s="17" t="s">
        <v>318</v>
      </c>
      <c r="B141" s="17" t="s">
        <v>319</v>
      </c>
      <c r="C141" s="17" t="s">
        <v>42</v>
      </c>
      <c r="D141" s="18">
        <v>0</v>
      </c>
      <c r="E141" s="18">
        <v>0</v>
      </c>
      <c r="F141" s="18">
        <v>0</v>
      </c>
    </row>
    <row r="142" spans="1:6" x14ac:dyDescent="0.25">
      <c r="A142" s="17" t="s">
        <v>320</v>
      </c>
      <c r="B142" s="17" t="s">
        <v>321</v>
      </c>
      <c r="C142" s="17" t="s">
        <v>42</v>
      </c>
      <c r="D142" s="18">
        <v>0</v>
      </c>
      <c r="E142" s="18">
        <v>0</v>
      </c>
      <c r="F142" s="18">
        <v>0</v>
      </c>
    </row>
    <row r="143" spans="1:6" x14ac:dyDescent="0.25">
      <c r="A143" s="17" t="s">
        <v>322</v>
      </c>
      <c r="B143" s="17" t="s">
        <v>323</v>
      </c>
      <c r="C143" s="17" t="s">
        <v>42</v>
      </c>
      <c r="D143" s="18">
        <v>9050</v>
      </c>
      <c r="E143" s="18">
        <v>2262</v>
      </c>
      <c r="F143" s="18">
        <v>2640</v>
      </c>
    </row>
    <row r="144" spans="1:6" x14ac:dyDescent="0.25">
      <c r="A144" s="17" t="s">
        <v>324</v>
      </c>
      <c r="B144" s="17" t="s">
        <v>325</v>
      </c>
      <c r="C144" s="17" t="s">
        <v>42</v>
      </c>
      <c r="D144" s="18">
        <v>1486.95</v>
      </c>
      <c r="E144" s="18">
        <v>1124.5</v>
      </c>
      <c r="F144" s="18">
        <v>1027.26</v>
      </c>
    </row>
    <row r="145" spans="1:6" x14ac:dyDescent="0.25">
      <c r="A145" s="17" t="s">
        <v>326</v>
      </c>
      <c r="B145" s="17" t="s">
        <v>327</v>
      </c>
      <c r="C145" s="17" t="s">
        <v>42</v>
      </c>
      <c r="D145" s="18">
        <v>49235</v>
      </c>
      <c r="E145" s="18">
        <v>35000</v>
      </c>
      <c r="F145" s="18">
        <v>24000</v>
      </c>
    </row>
    <row r="146" spans="1:6" x14ac:dyDescent="0.25">
      <c r="A146" s="17" t="s">
        <v>328</v>
      </c>
      <c r="B146" s="17" t="s">
        <v>329</v>
      </c>
      <c r="C146" s="17" t="s">
        <v>42</v>
      </c>
      <c r="D146" s="19">
        <v>5000</v>
      </c>
      <c r="E146" s="19">
        <v>4000</v>
      </c>
      <c r="F146" s="18">
        <v>3000</v>
      </c>
    </row>
    <row r="147" spans="1:6" x14ac:dyDescent="0.25">
      <c r="A147" s="20" t="s">
        <v>330</v>
      </c>
      <c r="B147" s="21" t="s">
        <v>331</v>
      </c>
      <c r="C147" s="17" t="s">
        <v>42</v>
      </c>
      <c r="D147" s="19">
        <v>10000</v>
      </c>
      <c r="E147" s="19">
        <v>7000</v>
      </c>
      <c r="F147" s="19" t="s">
        <v>12</v>
      </c>
    </row>
    <row r="148" spans="1:6" x14ac:dyDescent="0.25">
      <c r="A148" s="20" t="s">
        <v>332</v>
      </c>
      <c r="B148" s="21" t="s">
        <v>333</v>
      </c>
      <c r="C148" s="17" t="s">
        <v>42</v>
      </c>
      <c r="D148" s="19">
        <v>10000</v>
      </c>
      <c r="E148" s="19">
        <v>7500</v>
      </c>
      <c r="F148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NPD Plan</vt:lpstr>
      <vt:lpstr>Summary</vt:lpstr>
      <vt:lpstr>Aug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 onesto</dc:creator>
  <cp:lastModifiedBy>new onesto</cp:lastModifiedBy>
  <dcterms:created xsi:type="dcterms:W3CDTF">2026-08-06T11:55:58Z</dcterms:created>
  <dcterms:modified xsi:type="dcterms:W3CDTF">2026-08-06T12:47:01Z</dcterms:modified>
</cp:coreProperties>
</file>