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26D62B1-7729-46C2-89BD-356AB45A62DE}" xr6:coauthVersionLast="47" xr6:coauthVersionMax="47" xr10:uidLastSave="{00000000-0000-0000-0000-000000000000}"/>
  <bookViews>
    <workbookView xWindow="-110" yWindow="-110" windowWidth="19420" windowHeight="10300" xr2:uid="{51CE5031-44D3-4F6E-8632-5939D8537B41}"/>
  </bookViews>
  <sheets>
    <sheet name="Summary" sheetId="3" r:id="rId1"/>
    <sheet name="USTT" sheetId="2" r:id="rId2"/>
    <sheet name="UKTT" sheetId="1" r:id="rId3"/>
  </sheets>
  <definedNames>
    <definedName name="_xlnm._FilterDatabase" localSheetId="2" hidden="1">UKTT!$A$2:$F$31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3" l="1"/>
  <c r="D3" i="3"/>
  <c r="C4" i="3"/>
  <c r="C3" i="3"/>
  <c r="B4" i="3"/>
  <c r="B3" i="3"/>
  <c r="L3" i="3"/>
  <c r="M3" i="3"/>
  <c r="L4" i="3"/>
  <c r="M4" i="3"/>
  <c r="K4" i="3"/>
  <c r="H3" i="3"/>
  <c r="I3" i="3"/>
  <c r="H4" i="3"/>
  <c r="I4" i="3"/>
  <c r="G4" i="3"/>
  <c r="G3" i="3"/>
  <c r="K3" i="3"/>
  <c r="E1" i="1"/>
  <c r="F1" i="1"/>
  <c r="D1" i="1"/>
  <c r="E1" i="2"/>
  <c r="F1" i="2"/>
  <c r="D1" i="2"/>
  <c r="C5" i="3" l="1"/>
  <c r="B5" i="3"/>
  <c r="D5" i="3"/>
</calcChain>
</file>

<file path=xl/sharedStrings.xml><?xml version="1.0" encoding="utf-8"?>
<sst xmlns="http://schemas.openxmlformats.org/spreadsheetml/2006/main" count="204" uniqueCount="126">
  <si>
    <t>FG Code</t>
  </si>
  <si>
    <t>FG Description</t>
  </si>
  <si>
    <t>UKTTBA76</t>
  </si>
  <si>
    <t>Hair Growth Spray- TikTok UK</t>
  </si>
  <si>
    <t>UKTTCAP1</t>
  </si>
  <si>
    <t>Acne Body Wash 236 ml-TikTok UK</t>
  </si>
  <si>
    <t>UKTTCAP24</t>
  </si>
  <si>
    <t>Exfoliating Body Wash (236 ml) UK Tiktok</t>
  </si>
  <si>
    <t>UKTTBA24</t>
  </si>
  <si>
    <t>Anti-Dandruff Shampoo 250 ml UKTT</t>
  </si>
  <si>
    <t>UKTTBA98</t>
  </si>
  <si>
    <t>Anti-Dandruff Conditioner -175gm UKTT</t>
  </si>
  <si>
    <t>UKTTBA9</t>
  </si>
  <si>
    <t>Ultra Smoothing Hair Mask- TikTok UK</t>
  </si>
  <si>
    <t>UKTTCAP2</t>
  </si>
  <si>
    <t>Acne Body Wash 473 ml- TikTok UK</t>
  </si>
  <si>
    <t>UKTTBA10</t>
  </si>
  <si>
    <t>Ultra Smoothing Shampoo 250 ml- TikTok UK</t>
  </si>
  <si>
    <t>UKTTCAP17</t>
  </si>
  <si>
    <t>Brightening Body Wash (473 ml)-UK</t>
  </si>
  <si>
    <t>UKTTCAP16</t>
  </si>
  <si>
    <t>Brightening Body Wash (236 ml)-UKTT</t>
  </si>
  <si>
    <t>UKTTCAP69</t>
  </si>
  <si>
    <t>Roll on Woody Musk 40 ml - TikTok UK</t>
  </si>
  <si>
    <t>UKTTCAP34</t>
  </si>
  <si>
    <t>Hydrating Body Wash (236 ml) UK Tiktok</t>
  </si>
  <si>
    <t>UKTTBA48</t>
  </si>
  <si>
    <t>CG Mask 250 gm (BA48) UKTT</t>
  </si>
  <si>
    <t>UKTTBA50</t>
  </si>
  <si>
    <t>Curl Intensifying Leave in Conditioner UKTT</t>
  </si>
  <si>
    <t>UKTTBA49</t>
  </si>
  <si>
    <t>CG Shampoo 250 ML (BA49) UKTT</t>
  </si>
  <si>
    <t>UKTTCAP35</t>
  </si>
  <si>
    <t>Hydrating Body Wash (473 ml) UK Tiktok</t>
  </si>
  <si>
    <t>UKTTCAP62</t>
  </si>
  <si>
    <t>AHA Body Lotion- TikTok UK</t>
  </si>
  <si>
    <t>UKTTCAP48</t>
  </si>
  <si>
    <t>Roll On: Aqua 40 ml (Rectangular Monocarton)-TikTok UK</t>
  </si>
  <si>
    <t>UKTTBA11</t>
  </si>
  <si>
    <t>expert-Volumnizing mask (UKTTBA11)</t>
  </si>
  <si>
    <t>UKTTBA106</t>
  </si>
  <si>
    <t>Root Lift &amp; Volume Spray- 150ml UKTT</t>
  </si>
  <si>
    <t>UKTTCAP49</t>
  </si>
  <si>
    <t>Roll on FF 40 ml - TikTok UK</t>
  </si>
  <si>
    <t>UKTTCAP50</t>
  </si>
  <si>
    <t>Underarm Roll on - Peach Fragrance - Tiktok UK</t>
  </si>
  <si>
    <t>UKTTCAP25</t>
  </si>
  <si>
    <t>Exfoliating Body Wash (473 ml)-UK</t>
  </si>
  <si>
    <t>UKTTCAP168</t>
  </si>
  <si>
    <t>Acidified Control Body Wash (236 ml) UKTT</t>
  </si>
  <si>
    <t>UKTTCAP105</t>
  </si>
  <si>
    <t>Face Scrub (Exfoliating)- TikTok UK</t>
  </si>
  <si>
    <t>UKTTBA63</t>
  </si>
  <si>
    <t>Advance hair growth Serum-30ML</t>
  </si>
  <si>
    <t>UKTTBA107</t>
  </si>
  <si>
    <t>Advance hair growth Serum- Roll On</t>
  </si>
  <si>
    <t>NO Code</t>
  </si>
  <si>
    <t>Advance hair Density Serum-30ML</t>
  </si>
  <si>
    <t>Advance hair Density Serum- Roll On</t>
  </si>
  <si>
    <t>-</t>
  </si>
  <si>
    <t>AUG</t>
  </si>
  <si>
    <t>SEPT</t>
  </si>
  <si>
    <t>OCT</t>
  </si>
  <si>
    <t>USTTBA76</t>
  </si>
  <si>
    <t>Rosemary &amp; Rice Water Hair Spray-200ml - TikTok US</t>
  </si>
  <si>
    <t>USTTBA93</t>
  </si>
  <si>
    <t>EXPERT | Ultra Smoothing Serum (100 ML) - TikTok US</t>
  </si>
  <si>
    <t>USTTBA9</t>
  </si>
  <si>
    <t>EXPERT | Ultra Smoothing Hair Mask (250 gms) - TikTok US</t>
  </si>
  <si>
    <t>USTTBA10</t>
  </si>
  <si>
    <t>EXPERT | Ultra Smoothing Shampoo (250 ML) - TikTok US</t>
  </si>
  <si>
    <t>USTTCAP16</t>
  </si>
  <si>
    <t>Brightening body wash 236 ml - Tik Tok US</t>
  </si>
  <si>
    <t>USTTCAP24</t>
  </si>
  <si>
    <t>Exfoliating Body Wash-236ml - Tiktok US</t>
  </si>
  <si>
    <t>USTTCAP62</t>
  </si>
  <si>
    <t>AHA Body Lotion 236ml - Tik Tok US</t>
  </si>
  <si>
    <t>USTTBA48</t>
  </si>
  <si>
    <t>CG Mask 250 gm (BA48) USTT</t>
  </si>
  <si>
    <t>USTTBA50</t>
  </si>
  <si>
    <t>Curl Intensifying Leave in Conditioner USTT</t>
  </si>
  <si>
    <t>USTTBA49</t>
  </si>
  <si>
    <t>CG Shampoo 250 ML (BA49) USTT</t>
  </si>
  <si>
    <t>USTTBA12</t>
  </si>
  <si>
    <t>Expert-Volumnizing shampoo (BA12) USTT</t>
  </si>
  <si>
    <t>USTTCAP70</t>
  </si>
  <si>
    <t>Roll On - White jasmine 40 ml- Tik Tok US</t>
  </si>
  <si>
    <t>USTTBA106</t>
  </si>
  <si>
    <t>Root Lift &amp; Volume Spray- 150ml USTT</t>
  </si>
  <si>
    <t>USTTCAP48</t>
  </si>
  <si>
    <t>Roll On: Aqua 40 ml - Tik Tok US</t>
  </si>
  <si>
    <t>USTTBA11</t>
  </si>
  <si>
    <t>Expert-Volumnizing mask (BA11) USTT</t>
  </si>
  <si>
    <t>USTTCAP17</t>
  </si>
  <si>
    <t>Brightening Body Wash-473ml - Tiktok US</t>
  </si>
  <si>
    <t>USTTCAP49</t>
  </si>
  <si>
    <t>Roll On: Fragrance Free 40 ml- Tik Tok US</t>
  </si>
  <si>
    <t>USTTCAP105</t>
  </si>
  <si>
    <t>Gentle Exfoliating Face Scrub 100ML- Tik Tok US</t>
  </si>
  <si>
    <t>USTTCAP25</t>
  </si>
  <si>
    <t>Exfoliating Body Wash-473ml - Tiktok US</t>
  </si>
  <si>
    <t>USTTCAP126</t>
  </si>
  <si>
    <t>Chemist at Play Underarm Roll On Aqua 75ml (CAP126) USTT</t>
  </si>
  <si>
    <t>USTTCAP69</t>
  </si>
  <si>
    <t>Underarm Roll on - Woody Musk - Tiktok US</t>
  </si>
  <si>
    <t>USTTCAP68</t>
  </si>
  <si>
    <t>Underarm Roll on - Royal Oudh - Tiktok US</t>
  </si>
  <si>
    <t>USTTCAP53</t>
  </si>
  <si>
    <t>Anti-Frizz Leave-In Conditioner USTT</t>
  </si>
  <si>
    <t>USTTBA82</t>
  </si>
  <si>
    <t>Ultra Smoothing Shampoo- 750ml (USTTBA82)</t>
  </si>
  <si>
    <t>USTTCAP50</t>
  </si>
  <si>
    <t>Underarm Roll on - Peach Fragrance - Tiktok US</t>
  </si>
  <si>
    <t>USTTBA101</t>
  </si>
  <si>
    <t>Hair Density Serum (30ml)-TikTok US</t>
  </si>
  <si>
    <t>USBA107</t>
  </si>
  <si>
    <t>Hair Density roll on -TikTok US</t>
  </si>
  <si>
    <t>Type</t>
  </si>
  <si>
    <t>Inhouse</t>
  </si>
  <si>
    <t>Outsource</t>
  </si>
  <si>
    <t>Sum of Plan- Aug</t>
  </si>
  <si>
    <t>Sum of Plan- Sep</t>
  </si>
  <si>
    <t>Sum of Plan- Oct</t>
  </si>
  <si>
    <t>Grand Total</t>
  </si>
  <si>
    <t>USTT</t>
  </si>
  <si>
    <t>UKTT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</si>
</sst>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2D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164" fontId="0" fillId="0" borderId="0" xfId="0" applyNumberFormat="1"/>
    <xf numFmtId="164" fontId="4" fillId="3" borderId="2" xfId="1" applyNumberFormat="1" applyFont="1" applyFill="1" applyBorder="1" applyAlignment="1">
      <alignment horizontal="center"/>
    </xf>
    <xf numFmtId="164" fontId="0" fillId="0" borderId="0" xfId="1" applyNumberFormat="1" applyFont="1"/>
    <xf numFmtId="0" fontId="0" fillId="0" borderId="0" xfId="0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4" fontId="4" fillId="3" borderId="9" xfId="1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64" fontId="4" fillId="3" borderId="11" xfId="1" applyNumberFormat="1" applyFont="1" applyFill="1" applyBorder="1" applyAlignment="1">
      <alignment horizontal="center"/>
    </xf>
    <xf numFmtId="164" fontId="4" fillId="3" borderId="12" xfId="1" applyNumberFormat="1" applyFont="1" applyFill="1" applyBorder="1" applyAlignment="1">
      <alignment horizontal="center"/>
    </xf>
    <xf numFmtId="0" fontId="0" fillId="0" borderId="0" xfId="0" applyFill="1"/>
    <xf numFmtId="0" fontId="3" fillId="0" borderId="0" xfId="0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164" fontId="4" fillId="3" borderId="15" xfId="1" applyNumberFormat="1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164" fontId="4" fillId="3" borderId="4" xfId="1" applyNumberFormat="1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164" fontId="4" fillId="3" borderId="20" xfId="1" applyNumberFormat="1" applyFont="1" applyFill="1" applyBorder="1" applyAlignment="1">
      <alignment horizontal="center"/>
    </xf>
    <xf numFmtId="164" fontId="4" fillId="3" borderId="21" xfId="1" applyNumberFormat="1" applyFont="1" applyFill="1" applyBorder="1" applyAlignment="1">
      <alignment horizontal="center"/>
    </xf>
    <xf numFmtId="164" fontId="4" fillId="3" borderId="22" xfId="1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4" fillId="3" borderId="23" xfId="1" applyNumberFormat="1" applyFont="1" applyFill="1" applyBorder="1" applyAlignment="1">
      <alignment horizontal="center"/>
    </xf>
    <xf numFmtId="164" fontId="4" fillId="3" borderId="24" xfId="1" applyNumberFormat="1" applyFont="1" applyFill="1" applyBorder="1" applyAlignment="1">
      <alignment horizontal="center"/>
    </xf>
    <xf numFmtId="164" fontId="4" fillId="3" borderId="25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EBC6-5648-41AD-A365-9D19C3482C4B}">
  <dimension ref="A1:M10"/>
  <sheetViews>
    <sheetView tabSelected="1" workbookViewId="0">
      <selection activeCell="B3" sqref="A2:D5"/>
    </sheetView>
  </sheetViews>
  <sheetFormatPr defaultRowHeight="14.5" x14ac:dyDescent="0.35"/>
  <cols>
    <col min="1" max="1" width="10.36328125" bestFit="1" customWidth="1"/>
    <col min="2" max="2" width="14.90625" bestFit="1" customWidth="1"/>
    <col min="3" max="3" width="15" bestFit="1" customWidth="1"/>
    <col min="4" max="4" width="14.7265625" bestFit="1" customWidth="1"/>
    <col min="5" max="5" width="14.7265625" customWidth="1"/>
    <col min="6" max="6" width="9.453125" bestFit="1" customWidth="1"/>
    <col min="7" max="7" width="14.90625" bestFit="1" customWidth="1"/>
    <col min="8" max="8" width="15" bestFit="1" customWidth="1"/>
    <col min="9" max="9" width="14.7265625" bestFit="1" customWidth="1"/>
    <col min="10" max="10" width="9.453125" bestFit="1" customWidth="1"/>
    <col min="11" max="11" width="14.90625" bestFit="1" customWidth="1"/>
    <col min="12" max="12" width="15" bestFit="1" customWidth="1"/>
    <col min="13" max="13" width="14.7265625" bestFit="1" customWidth="1"/>
  </cols>
  <sheetData>
    <row r="1" spans="1:13" ht="15" thickBot="1" x14ac:dyDescent="0.4">
      <c r="E1" s="18"/>
      <c r="G1" s="9" t="s">
        <v>124</v>
      </c>
      <c r="H1" s="9"/>
      <c r="I1" s="9"/>
      <c r="K1" s="9" t="s">
        <v>125</v>
      </c>
      <c r="L1" s="9"/>
      <c r="M1" s="9"/>
    </row>
    <row r="2" spans="1:13" x14ac:dyDescent="0.35">
      <c r="A2" s="26" t="s">
        <v>117</v>
      </c>
      <c r="B2" s="24" t="s">
        <v>120</v>
      </c>
      <c r="C2" s="21" t="s">
        <v>121</v>
      </c>
      <c r="D2" s="22" t="s">
        <v>122</v>
      </c>
      <c r="E2" s="19"/>
      <c r="F2" s="10" t="s">
        <v>117</v>
      </c>
      <c r="G2" s="11" t="s">
        <v>120</v>
      </c>
      <c r="H2" s="11" t="s">
        <v>121</v>
      </c>
      <c r="I2" s="12" t="s">
        <v>122</v>
      </c>
      <c r="J2" s="10" t="s">
        <v>117</v>
      </c>
      <c r="K2" s="11" t="s">
        <v>120</v>
      </c>
      <c r="L2" s="11" t="s">
        <v>121</v>
      </c>
      <c r="M2" s="12" t="s">
        <v>122</v>
      </c>
    </row>
    <row r="3" spans="1:13" x14ac:dyDescent="0.35">
      <c r="A3" s="27" t="s">
        <v>118</v>
      </c>
      <c r="B3" s="25">
        <f>G3+K3</f>
        <v>2112140</v>
      </c>
      <c r="C3" s="20">
        <f>H3+L3</f>
        <v>2162932</v>
      </c>
      <c r="D3" s="23">
        <f>I3+M3</f>
        <v>2119201.6</v>
      </c>
      <c r="E3" s="19"/>
      <c r="F3" s="13" t="s">
        <v>118</v>
      </c>
      <c r="G3" s="7">
        <f>SUMIFS(USTT!D:D,USTT!$C:$C,Summary!$F$3)</f>
        <v>1642500</v>
      </c>
      <c r="H3" s="7">
        <f>SUMIFS(USTT!E:E,USTT!$C:$C,Summary!$F$3)</f>
        <v>1603500</v>
      </c>
      <c r="I3" s="14">
        <f>SUMIFS(USTT!F:F,USTT!$C:$C,Summary!$F$3)</f>
        <v>1484000</v>
      </c>
      <c r="J3" s="13" t="s">
        <v>118</v>
      </c>
      <c r="K3" s="7">
        <f>SUMIFS(UKTT!D:D,UKTT!$C:$C,Summary!$J$3)</f>
        <v>469640</v>
      </c>
      <c r="L3" s="7">
        <f>SUMIFS(UKTT!E:E,UKTT!$C:$C,Summary!$J$3)</f>
        <v>559432</v>
      </c>
      <c r="M3" s="14">
        <f>SUMIFS(UKTT!F:F,UKTT!$C:$C,Summary!$J$3)</f>
        <v>635201.60000000009</v>
      </c>
    </row>
    <row r="4" spans="1:13" ht="15" thickBot="1" x14ac:dyDescent="0.4">
      <c r="A4" s="28" t="s">
        <v>119</v>
      </c>
      <c r="B4" s="29">
        <f>G4+K4</f>
        <v>70000</v>
      </c>
      <c r="C4" s="30">
        <f>H4+L4</f>
        <v>62000</v>
      </c>
      <c r="D4" s="31">
        <f>I4+M4</f>
        <v>62000</v>
      </c>
      <c r="E4" s="19"/>
      <c r="F4" s="15" t="s">
        <v>119</v>
      </c>
      <c r="G4" s="16">
        <f>SUMIFS(USTT!D:D,USTT!$C:$C,Summary!$F$4)</f>
        <v>15000</v>
      </c>
      <c r="H4" s="16">
        <f>SUMIFS(USTT!E:E,USTT!$C:$C,Summary!$F$4)</f>
        <v>15000</v>
      </c>
      <c r="I4" s="17">
        <f>SUMIFS(USTT!F:F,USTT!$C:$C,Summary!$F$4)</f>
        <v>15000</v>
      </c>
      <c r="J4" s="15" t="s">
        <v>119</v>
      </c>
      <c r="K4" s="16">
        <f>SUMIFS(UKTT!D:D,UKTT!$C:$C,Summary!$J$4)</f>
        <v>55000</v>
      </c>
      <c r="L4" s="16">
        <f>SUMIFS(UKTT!E:E,UKTT!$C:$C,Summary!$J$4)</f>
        <v>47000</v>
      </c>
      <c r="M4" s="17">
        <f>SUMIFS(UKTT!F:F,UKTT!$C:$C,Summary!$J$4)</f>
        <v>47000</v>
      </c>
    </row>
    <row r="5" spans="1:13" ht="15" thickBot="1" x14ac:dyDescent="0.4">
      <c r="A5" s="32" t="s">
        <v>123</v>
      </c>
      <c r="B5" s="33">
        <f>SUM(B3:B4)</f>
        <v>2182140</v>
      </c>
      <c r="C5" s="34">
        <f t="shared" ref="C5:D5" si="0">SUM(C3:C4)</f>
        <v>2224932</v>
      </c>
      <c r="D5" s="35">
        <f t="shared" si="0"/>
        <v>2181201.6</v>
      </c>
      <c r="E5" s="19"/>
      <c r="G5" s="6"/>
      <c r="H5" s="6"/>
      <c r="I5" s="6"/>
      <c r="K5" s="6"/>
      <c r="L5" s="6"/>
      <c r="M5" s="6"/>
    </row>
    <row r="6" spans="1:13" x14ac:dyDescent="0.35">
      <c r="E6" s="19"/>
    </row>
    <row r="7" spans="1:13" x14ac:dyDescent="0.35">
      <c r="E7" s="19"/>
    </row>
    <row r="8" spans="1:13" x14ac:dyDescent="0.35">
      <c r="B8" s="8"/>
      <c r="C8" s="8"/>
      <c r="D8" s="8"/>
      <c r="E8" s="8"/>
    </row>
    <row r="9" spans="1:13" x14ac:dyDescent="0.35">
      <c r="B9" s="8"/>
      <c r="C9" s="8"/>
      <c r="D9" s="8"/>
      <c r="E9" s="8"/>
    </row>
    <row r="10" spans="1:13" x14ac:dyDescent="0.35">
      <c r="B10" s="8"/>
      <c r="C10" s="8"/>
      <c r="D10" s="8"/>
      <c r="E10" s="8"/>
    </row>
  </sheetData>
  <mergeCells count="2">
    <mergeCell ref="G1:I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9BDE-56EB-4457-8EF2-B35F642AF06A}">
  <dimension ref="A1:F29"/>
  <sheetViews>
    <sheetView workbookViewId="0">
      <selection activeCell="C2" sqref="C2"/>
    </sheetView>
  </sheetViews>
  <sheetFormatPr defaultRowHeight="14.5" x14ac:dyDescent="0.35"/>
  <cols>
    <col min="1" max="1" width="11.36328125" bestFit="1" customWidth="1"/>
    <col min="2" max="2" width="50.1796875" bestFit="1" customWidth="1"/>
    <col min="3" max="3" width="9.36328125" bestFit="1" customWidth="1"/>
    <col min="4" max="4" width="10.1796875" style="4" bestFit="1" customWidth="1"/>
    <col min="5" max="6" width="10.1796875" bestFit="1" customWidth="1"/>
  </cols>
  <sheetData>
    <row r="1" spans="1:6" x14ac:dyDescent="0.35">
      <c r="D1" s="5">
        <f>SUM(D3:D29)</f>
        <v>1657500</v>
      </c>
      <c r="E1" s="5">
        <f t="shared" ref="E1:F1" si="0">SUM(E3:E29)</f>
        <v>1618500</v>
      </c>
      <c r="F1" s="5">
        <f t="shared" si="0"/>
        <v>1499000</v>
      </c>
    </row>
    <row r="2" spans="1:6" x14ac:dyDescent="0.35">
      <c r="A2" s="3" t="s">
        <v>0</v>
      </c>
      <c r="B2" s="3" t="s">
        <v>1</v>
      </c>
      <c r="C2" s="3" t="s">
        <v>117</v>
      </c>
      <c r="D2" s="3" t="s">
        <v>60</v>
      </c>
      <c r="E2" s="3" t="s">
        <v>61</v>
      </c>
      <c r="F2" s="3" t="s">
        <v>62</v>
      </c>
    </row>
    <row r="3" spans="1:6" x14ac:dyDescent="0.35">
      <c r="A3" s="1" t="s">
        <v>63</v>
      </c>
      <c r="B3" s="1" t="s">
        <v>64</v>
      </c>
      <c r="C3" s="1" t="s">
        <v>118</v>
      </c>
      <c r="D3" s="2">
        <v>620000</v>
      </c>
      <c r="E3" s="2">
        <v>600000</v>
      </c>
      <c r="F3" s="2">
        <v>500000</v>
      </c>
    </row>
    <row r="4" spans="1:6" x14ac:dyDescent="0.35">
      <c r="A4" s="1" t="s">
        <v>65</v>
      </c>
      <c r="B4" s="1" t="s">
        <v>66</v>
      </c>
      <c r="C4" s="1" t="s">
        <v>118</v>
      </c>
      <c r="D4" s="2">
        <v>250000</v>
      </c>
      <c r="E4" s="2">
        <v>250000</v>
      </c>
      <c r="F4" s="2">
        <v>250000</v>
      </c>
    </row>
    <row r="5" spans="1:6" x14ac:dyDescent="0.35">
      <c r="A5" s="1" t="s">
        <v>67</v>
      </c>
      <c r="B5" s="1" t="s">
        <v>68</v>
      </c>
      <c r="C5" s="1" t="s">
        <v>118</v>
      </c>
      <c r="D5" s="2">
        <v>200000</v>
      </c>
      <c r="E5" s="2">
        <v>200000</v>
      </c>
      <c r="F5" s="2">
        <v>200000</v>
      </c>
    </row>
    <row r="6" spans="1:6" x14ac:dyDescent="0.35">
      <c r="A6" s="1" t="s">
        <v>69</v>
      </c>
      <c r="B6" s="1" t="s">
        <v>70</v>
      </c>
      <c r="C6" s="1" t="s">
        <v>118</v>
      </c>
      <c r="D6" s="2">
        <v>150000</v>
      </c>
      <c r="E6" s="2">
        <v>150000</v>
      </c>
      <c r="F6" s="2">
        <v>150000</v>
      </c>
    </row>
    <row r="7" spans="1:6" x14ac:dyDescent="0.35">
      <c r="A7" s="1" t="s">
        <v>71</v>
      </c>
      <c r="B7" s="1" t="s">
        <v>72</v>
      </c>
      <c r="C7" s="1" t="s">
        <v>118</v>
      </c>
      <c r="D7" s="2">
        <v>125000</v>
      </c>
      <c r="E7" s="2">
        <v>100000</v>
      </c>
      <c r="F7" s="2">
        <v>100000</v>
      </c>
    </row>
    <row r="8" spans="1:6" x14ac:dyDescent="0.35">
      <c r="A8" s="1" t="s">
        <v>73</v>
      </c>
      <c r="B8" s="1" t="s">
        <v>74</v>
      </c>
      <c r="C8" s="1" t="s">
        <v>118</v>
      </c>
      <c r="D8" s="2">
        <v>90000</v>
      </c>
      <c r="E8" s="2">
        <v>90000</v>
      </c>
      <c r="F8" s="2">
        <v>90000</v>
      </c>
    </row>
    <row r="9" spans="1:6" x14ac:dyDescent="0.35">
      <c r="A9" s="1" t="s">
        <v>75</v>
      </c>
      <c r="B9" s="1" t="s">
        <v>76</v>
      </c>
      <c r="C9" s="1" t="s">
        <v>118</v>
      </c>
      <c r="D9" s="2">
        <v>60000</v>
      </c>
      <c r="E9" s="2">
        <v>70000</v>
      </c>
      <c r="F9" s="2">
        <v>50000</v>
      </c>
    </row>
    <row r="10" spans="1:6" x14ac:dyDescent="0.35">
      <c r="A10" s="1" t="s">
        <v>77</v>
      </c>
      <c r="B10" s="1" t="s">
        <v>78</v>
      </c>
      <c r="C10" s="1" t="s">
        <v>118</v>
      </c>
      <c r="D10" s="2">
        <v>18000</v>
      </c>
      <c r="E10" s="2">
        <v>15000</v>
      </c>
      <c r="F10" s="2">
        <v>15000</v>
      </c>
    </row>
    <row r="11" spans="1:6" x14ac:dyDescent="0.35">
      <c r="A11" s="1" t="s">
        <v>79</v>
      </c>
      <c r="B11" s="1" t="s">
        <v>80</v>
      </c>
      <c r="C11" s="1" t="s">
        <v>118</v>
      </c>
      <c r="D11" s="2">
        <v>18000</v>
      </c>
      <c r="E11" s="2">
        <v>15000</v>
      </c>
      <c r="F11" s="2">
        <v>15000</v>
      </c>
    </row>
    <row r="12" spans="1:6" x14ac:dyDescent="0.35">
      <c r="A12" s="1" t="s">
        <v>81</v>
      </c>
      <c r="B12" s="1" t="s">
        <v>82</v>
      </c>
      <c r="C12" s="1" t="s">
        <v>118</v>
      </c>
      <c r="D12" s="2">
        <v>18000</v>
      </c>
      <c r="E12" s="2">
        <v>15000</v>
      </c>
      <c r="F12" s="2">
        <v>15000</v>
      </c>
    </row>
    <row r="13" spans="1:6" x14ac:dyDescent="0.35">
      <c r="A13" s="1" t="s">
        <v>83</v>
      </c>
      <c r="B13" s="1" t="s">
        <v>84</v>
      </c>
      <c r="C13" s="1" t="s">
        <v>118</v>
      </c>
      <c r="D13" s="2">
        <v>7500</v>
      </c>
      <c r="E13" s="2">
        <v>7500</v>
      </c>
      <c r="F13" s="2">
        <v>7500</v>
      </c>
    </row>
    <row r="14" spans="1:6" x14ac:dyDescent="0.35">
      <c r="A14" s="1" t="s">
        <v>85</v>
      </c>
      <c r="B14" s="1" t="s">
        <v>86</v>
      </c>
      <c r="C14" s="1" t="s">
        <v>118</v>
      </c>
      <c r="D14" s="2">
        <v>10000</v>
      </c>
      <c r="E14" s="2">
        <v>10000</v>
      </c>
      <c r="F14" s="2">
        <v>10000</v>
      </c>
    </row>
    <row r="15" spans="1:6" x14ac:dyDescent="0.35">
      <c r="A15" s="1" t="s">
        <v>87</v>
      </c>
      <c r="B15" s="1" t="s">
        <v>88</v>
      </c>
      <c r="C15" s="1" t="s">
        <v>118</v>
      </c>
      <c r="D15" s="2">
        <v>7500</v>
      </c>
      <c r="E15" s="2">
        <v>7500</v>
      </c>
      <c r="F15" s="2">
        <v>7500</v>
      </c>
    </row>
    <row r="16" spans="1:6" x14ac:dyDescent="0.35">
      <c r="A16" s="1" t="s">
        <v>89</v>
      </c>
      <c r="B16" s="1" t="s">
        <v>90</v>
      </c>
      <c r="C16" s="1" t="s">
        <v>118</v>
      </c>
      <c r="D16" s="2">
        <v>11000</v>
      </c>
      <c r="E16" s="2">
        <v>12000</v>
      </c>
      <c r="F16" s="2">
        <v>10000</v>
      </c>
    </row>
    <row r="17" spans="1:6" x14ac:dyDescent="0.35">
      <c r="A17" s="1" t="s">
        <v>91</v>
      </c>
      <c r="B17" s="1" t="s">
        <v>92</v>
      </c>
      <c r="C17" s="1" t="s">
        <v>118</v>
      </c>
      <c r="D17" s="2">
        <v>7500</v>
      </c>
      <c r="E17" s="2">
        <v>7500</v>
      </c>
      <c r="F17" s="2">
        <v>7500</v>
      </c>
    </row>
    <row r="18" spans="1:6" x14ac:dyDescent="0.35">
      <c r="A18" s="1" t="s">
        <v>93</v>
      </c>
      <c r="B18" s="1" t="s">
        <v>94</v>
      </c>
      <c r="C18" s="1" t="s">
        <v>118</v>
      </c>
      <c r="D18" s="2">
        <v>10000</v>
      </c>
      <c r="E18" s="2">
        <v>10000</v>
      </c>
      <c r="F18" s="2">
        <v>10000</v>
      </c>
    </row>
    <row r="19" spans="1:6" x14ac:dyDescent="0.35">
      <c r="A19" s="1" t="s">
        <v>95</v>
      </c>
      <c r="B19" s="1" t="s">
        <v>96</v>
      </c>
      <c r="C19" s="1" t="s">
        <v>118</v>
      </c>
      <c r="D19" s="2">
        <v>8000</v>
      </c>
      <c r="E19" s="2">
        <v>8000</v>
      </c>
      <c r="F19" s="2">
        <v>10000</v>
      </c>
    </row>
    <row r="20" spans="1:6" x14ac:dyDescent="0.35">
      <c r="A20" s="1" t="s">
        <v>97</v>
      </c>
      <c r="B20" s="1" t="s">
        <v>98</v>
      </c>
      <c r="C20" s="1" t="s">
        <v>118</v>
      </c>
      <c r="D20" s="2">
        <v>2500</v>
      </c>
      <c r="E20" s="2">
        <v>2500</v>
      </c>
      <c r="F20" s="2">
        <v>2500</v>
      </c>
    </row>
    <row r="21" spans="1:6" x14ac:dyDescent="0.35">
      <c r="A21" s="1" t="s">
        <v>99</v>
      </c>
      <c r="B21" s="1" t="s">
        <v>100</v>
      </c>
      <c r="C21" s="1" t="s">
        <v>118</v>
      </c>
      <c r="D21" s="2">
        <v>5500</v>
      </c>
      <c r="E21" s="2">
        <v>7000</v>
      </c>
      <c r="F21" s="2">
        <v>7500</v>
      </c>
    </row>
    <row r="22" spans="1:6" x14ac:dyDescent="0.35">
      <c r="A22" s="1" t="s">
        <v>101</v>
      </c>
      <c r="B22" s="1" t="s">
        <v>102</v>
      </c>
      <c r="C22" s="1" t="s">
        <v>118</v>
      </c>
      <c r="D22" s="2">
        <v>5500</v>
      </c>
      <c r="E22" s="2">
        <v>5500</v>
      </c>
      <c r="F22" s="2">
        <v>5500</v>
      </c>
    </row>
    <row r="23" spans="1:6" x14ac:dyDescent="0.35">
      <c r="A23" s="1" t="s">
        <v>103</v>
      </c>
      <c r="B23" s="1" t="s">
        <v>104</v>
      </c>
      <c r="C23" s="1" t="s">
        <v>118</v>
      </c>
      <c r="D23" s="2">
        <v>5500</v>
      </c>
      <c r="E23" s="2">
        <v>5500</v>
      </c>
      <c r="F23" s="2">
        <v>5500</v>
      </c>
    </row>
    <row r="24" spans="1:6" x14ac:dyDescent="0.35">
      <c r="A24" s="1" t="s">
        <v>105</v>
      </c>
      <c r="B24" s="1" t="s">
        <v>106</v>
      </c>
      <c r="C24" s="1" t="s">
        <v>118</v>
      </c>
      <c r="D24" s="2">
        <v>3000</v>
      </c>
      <c r="E24" s="2">
        <v>3000</v>
      </c>
      <c r="F24" s="2">
        <v>3000</v>
      </c>
    </row>
    <row r="25" spans="1:6" x14ac:dyDescent="0.35">
      <c r="A25" s="1" t="s">
        <v>107</v>
      </c>
      <c r="B25" s="1" t="s">
        <v>108</v>
      </c>
      <c r="C25" s="1" t="s">
        <v>118</v>
      </c>
      <c r="D25" s="2">
        <v>2000</v>
      </c>
      <c r="E25" s="2">
        <v>2500</v>
      </c>
      <c r="F25" s="2">
        <v>2500</v>
      </c>
    </row>
    <row r="26" spans="1:6" x14ac:dyDescent="0.35">
      <c r="A26" s="1" t="s">
        <v>109</v>
      </c>
      <c r="B26" s="1" t="s">
        <v>110</v>
      </c>
      <c r="C26" s="1" t="s">
        <v>118</v>
      </c>
      <c r="D26" s="2">
        <v>4000</v>
      </c>
      <c r="E26" s="2">
        <v>5000</v>
      </c>
      <c r="F26" s="2">
        <v>5000</v>
      </c>
    </row>
    <row r="27" spans="1:6" x14ac:dyDescent="0.35">
      <c r="A27" s="1" t="s">
        <v>111</v>
      </c>
      <c r="B27" s="1" t="s">
        <v>112</v>
      </c>
      <c r="C27" s="1" t="s">
        <v>118</v>
      </c>
      <c r="D27" s="2">
        <v>4000</v>
      </c>
      <c r="E27" s="2">
        <v>5000</v>
      </c>
      <c r="F27" s="2">
        <v>5000</v>
      </c>
    </row>
    <row r="28" spans="1:6" x14ac:dyDescent="0.35">
      <c r="A28" s="1" t="s">
        <v>113</v>
      </c>
      <c r="B28" s="1" t="s">
        <v>114</v>
      </c>
      <c r="C28" s="1" t="s">
        <v>119</v>
      </c>
      <c r="D28" s="2">
        <v>7500</v>
      </c>
      <c r="E28" s="2">
        <v>7500</v>
      </c>
      <c r="F28" s="2">
        <v>7500</v>
      </c>
    </row>
    <row r="29" spans="1:6" x14ac:dyDescent="0.35">
      <c r="A29" s="1" t="s">
        <v>115</v>
      </c>
      <c r="B29" s="1" t="s">
        <v>116</v>
      </c>
      <c r="C29" s="1" t="s">
        <v>119</v>
      </c>
      <c r="D29" s="2">
        <v>7500</v>
      </c>
      <c r="E29" s="2">
        <v>7500</v>
      </c>
      <c r="F29" s="2">
        <v>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6649-C773-4010-A513-016A7214AFFC}">
  <sheetPr filterMode="1"/>
  <dimension ref="A1:F31"/>
  <sheetViews>
    <sheetView topLeftCell="A9" workbookViewId="0">
      <selection activeCell="D3" sqref="D3:D27"/>
    </sheetView>
  </sheetViews>
  <sheetFormatPr defaultRowHeight="14.5" x14ac:dyDescent="0.35"/>
  <cols>
    <col min="1" max="1" width="11.36328125" bestFit="1" customWidth="1"/>
    <col min="2" max="2" width="46.90625" bestFit="1" customWidth="1"/>
    <col min="3" max="3" width="9.36328125" bestFit="1" customWidth="1"/>
    <col min="4" max="6" width="11.1796875" bestFit="1" customWidth="1"/>
  </cols>
  <sheetData>
    <row r="1" spans="1:6" x14ac:dyDescent="0.35">
      <c r="D1" s="6">
        <f>SUM(D3:D31)</f>
        <v>524640</v>
      </c>
      <c r="E1" s="6">
        <f t="shared" ref="E1:F1" si="0">SUM(E3:E31)</f>
        <v>606432</v>
      </c>
      <c r="F1" s="6">
        <f t="shared" si="0"/>
        <v>682201.60000000009</v>
      </c>
    </row>
    <row r="2" spans="1:6" x14ac:dyDescent="0.35">
      <c r="A2" s="3" t="s">
        <v>0</v>
      </c>
      <c r="B2" s="3" t="s">
        <v>1</v>
      </c>
      <c r="C2" s="3" t="s">
        <v>117</v>
      </c>
      <c r="D2" s="3" t="s">
        <v>60</v>
      </c>
      <c r="E2" s="3" t="s">
        <v>61</v>
      </c>
      <c r="F2" s="3" t="s">
        <v>62</v>
      </c>
    </row>
    <row r="3" spans="1:6" x14ac:dyDescent="0.35">
      <c r="A3" s="1" t="s">
        <v>2</v>
      </c>
      <c r="B3" s="1" t="s">
        <v>3</v>
      </c>
      <c r="C3" s="1" t="s">
        <v>118</v>
      </c>
      <c r="D3" s="2">
        <v>200000</v>
      </c>
      <c r="E3" s="2">
        <v>240000</v>
      </c>
      <c r="F3" s="2">
        <v>288000</v>
      </c>
    </row>
    <row r="4" spans="1:6" x14ac:dyDescent="0.35">
      <c r="A4" s="1" t="s">
        <v>4</v>
      </c>
      <c r="B4" s="1" t="s">
        <v>5</v>
      </c>
      <c r="C4" s="1" t="s">
        <v>118</v>
      </c>
      <c r="D4" s="2">
        <v>66000</v>
      </c>
      <c r="E4" s="2">
        <v>85800</v>
      </c>
      <c r="F4" s="2">
        <v>94380.000000000015</v>
      </c>
    </row>
    <row r="5" spans="1:6" x14ac:dyDescent="0.35">
      <c r="A5" s="1" t="s">
        <v>6</v>
      </c>
      <c r="B5" s="1" t="s">
        <v>7</v>
      </c>
      <c r="C5" s="1" t="s">
        <v>118</v>
      </c>
      <c r="D5" s="2">
        <v>50000</v>
      </c>
      <c r="E5" s="2">
        <v>50000</v>
      </c>
      <c r="F5" s="2">
        <v>50000</v>
      </c>
    </row>
    <row r="6" spans="1:6" x14ac:dyDescent="0.35">
      <c r="A6" s="1" t="s">
        <v>8</v>
      </c>
      <c r="B6" s="1" t="s">
        <v>9</v>
      </c>
      <c r="C6" s="1" t="s">
        <v>118</v>
      </c>
      <c r="D6" s="2">
        <v>27390.000000000004</v>
      </c>
      <c r="E6" s="2">
        <v>35607.000000000007</v>
      </c>
      <c r="F6" s="2">
        <v>46289.100000000013</v>
      </c>
    </row>
    <row r="7" spans="1:6" x14ac:dyDescent="0.35">
      <c r="A7" s="1" t="s">
        <v>10</v>
      </c>
      <c r="B7" s="1" t="s">
        <v>11</v>
      </c>
      <c r="C7" s="1" t="s">
        <v>118</v>
      </c>
      <c r="D7" s="2">
        <v>19250</v>
      </c>
      <c r="E7" s="2">
        <v>25025</v>
      </c>
      <c r="F7" s="2">
        <v>32532.5</v>
      </c>
    </row>
    <row r="8" spans="1:6" x14ac:dyDescent="0.35">
      <c r="A8" s="1" t="s">
        <v>12</v>
      </c>
      <c r="B8" s="1" t="s">
        <v>13</v>
      </c>
      <c r="C8" s="1" t="s">
        <v>118</v>
      </c>
      <c r="D8" s="2">
        <v>15000</v>
      </c>
      <c r="E8" s="2">
        <v>20000</v>
      </c>
      <c r="F8" s="2">
        <v>22000</v>
      </c>
    </row>
    <row r="9" spans="1:6" x14ac:dyDescent="0.35">
      <c r="A9" s="1" t="s">
        <v>14</v>
      </c>
      <c r="B9" s="1" t="s">
        <v>15</v>
      </c>
      <c r="C9" s="1" t="s">
        <v>118</v>
      </c>
      <c r="D9" s="2">
        <v>7000</v>
      </c>
      <c r="E9" s="2">
        <v>10000</v>
      </c>
      <c r="F9" s="2">
        <v>10000</v>
      </c>
    </row>
    <row r="10" spans="1:6" x14ac:dyDescent="0.35">
      <c r="A10" s="1" t="s">
        <v>16</v>
      </c>
      <c r="B10" s="1" t="s">
        <v>17</v>
      </c>
      <c r="C10" s="1" t="s">
        <v>118</v>
      </c>
      <c r="D10" s="2">
        <v>12000</v>
      </c>
      <c r="E10" s="2">
        <v>12000</v>
      </c>
      <c r="F10" s="2">
        <v>10000</v>
      </c>
    </row>
    <row r="11" spans="1:6" x14ac:dyDescent="0.35">
      <c r="A11" s="1" t="s">
        <v>18</v>
      </c>
      <c r="B11" s="1" t="s">
        <v>19</v>
      </c>
      <c r="C11" s="1" t="s">
        <v>118</v>
      </c>
      <c r="D11" s="2">
        <v>8000</v>
      </c>
      <c r="E11" s="2">
        <v>8000</v>
      </c>
      <c r="F11" s="2">
        <v>9000</v>
      </c>
    </row>
    <row r="12" spans="1:6" x14ac:dyDescent="0.35">
      <c r="A12" s="1" t="s">
        <v>20</v>
      </c>
      <c r="B12" s="1" t="s">
        <v>21</v>
      </c>
      <c r="C12" s="1" t="s">
        <v>118</v>
      </c>
      <c r="D12" s="2">
        <v>7500</v>
      </c>
      <c r="E12" s="2">
        <v>7500</v>
      </c>
      <c r="F12" s="2">
        <v>7000</v>
      </c>
    </row>
    <row r="13" spans="1:6" x14ac:dyDescent="0.35">
      <c r="A13" s="1" t="s">
        <v>22</v>
      </c>
      <c r="B13" s="1" t="s">
        <v>23</v>
      </c>
      <c r="C13" s="1" t="s">
        <v>118</v>
      </c>
      <c r="D13" s="2">
        <v>7000</v>
      </c>
      <c r="E13" s="2">
        <v>7000</v>
      </c>
      <c r="F13" s="2">
        <v>8000</v>
      </c>
    </row>
    <row r="14" spans="1:6" x14ac:dyDescent="0.35">
      <c r="A14" s="1" t="s">
        <v>24</v>
      </c>
      <c r="B14" s="1" t="s">
        <v>25</v>
      </c>
      <c r="C14" s="1" t="s">
        <v>118</v>
      </c>
      <c r="D14" s="2">
        <v>5000</v>
      </c>
      <c r="E14" s="2">
        <v>5000</v>
      </c>
      <c r="F14" s="2">
        <v>4500</v>
      </c>
    </row>
    <row r="15" spans="1:6" x14ac:dyDescent="0.35">
      <c r="A15" s="1" t="s">
        <v>26</v>
      </c>
      <c r="B15" s="1" t="s">
        <v>27</v>
      </c>
      <c r="C15" s="1" t="s">
        <v>118</v>
      </c>
      <c r="D15" s="2">
        <v>5000</v>
      </c>
      <c r="E15" s="2">
        <v>5000</v>
      </c>
      <c r="F15" s="2">
        <v>5000</v>
      </c>
    </row>
    <row r="16" spans="1:6" x14ac:dyDescent="0.35">
      <c r="A16" s="1" t="s">
        <v>28</v>
      </c>
      <c r="B16" s="1" t="s">
        <v>29</v>
      </c>
      <c r="C16" s="1" t="s">
        <v>118</v>
      </c>
      <c r="D16" s="2">
        <v>5000</v>
      </c>
      <c r="E16" s="2">
        <v>5000</v>
      </c>
      <c r="F16" s="2">
        <v>5000</v>
      </c>
    </row>
    <row r="17" spans="1:6" x14ac:dyDescent="0.35">
      <c r="A17" s="1" t="s">
        <v>30</v>
      </c>
      <c r="B17" s="1" t="s">
        <v>31</v>
      </c>
      <c r="C17" s="1" t="s">
        <v>118</v>
      </c>
      <c r="D17" s="2">
        <v>5000</v>
      </c>
      <c r="E17" s="2">
        <v>5000</v>
      </c>
      <c r="F17" s="2">
        <v>5000</v>
      </c>
    </row>
    <row r="18" spans="1:6" x14ac:dyDescent="0.35">
      <c r="A18" s="1" t="s">
        <v>32</v>
      </c>
      <c r="B18" s="1" t="s">
        <v>33</v>
      </c>
      <c r="C18" s="1" t="s">
        <v>118</v>
      </c>
      <c r="D18" s="2">
        <v>5000</v>
      </c>
      <c r="E18" s="2">
        <v>5000</v>
      </c>
      <c r="F18" s="2">
        <v>5000</v>
      </c>
    </row>
    <row r="19" spans="1:6" x14ac:dyDescent="0.35">
      <c r="A19" s="1" t="s">
        <v>34</v>
      </c>
      <c r="B19" s="1" t="s">
        <v>35</v>
      </c>
      <c r="C19" s="1" t="s">
        <v>118</v>
      </c>
      <c r="D19" s="2">
        <v>6000</v>
      </c>
      <c r="E19" s="2">
        <v>6000</v>
      </c>
      <c r="F19" s="2">
        <v>6000</v>
      </c>
    </row>
    <row r="20" spans="1:6" x14ac:dyDescent="0.35">
      <c r="A20" s="1" t="s">
        <v>36</v>
      </c>
      <c r="B20" s="1" t="s">
        <v>37</v>
      </c>
      <c r="C20" s="1" t="s">
        <v>118</v>
      </c>
      <c r="D20" s="2">
        <v>2500</v>
      </c>
      <c r="E20" s="2">
        <v>2500</v>
      </c>
      <c r="F20" s="2">
        <v>2500</v>
      </c>
    </row>
    <row r="21" spans="1:6" x14ac:dyDescent="0.35">
      <c r="A21" s="1" t="s">
        <v>38</v>
      </c>
      <c r="B21" s="1" t="s">
        <v>39</v>
      </c>
      <c r="C21" s="1" t="s">
        <v>118</v>
      </c>
      <c r="D21" s="2" t="s">
        <v>59</v>
      </c>
      <c r="E21" s="2">
        <v>2500</v>
      </c>
      <c r="F21" s="2">
        <v>2500</v>
      </c>
    </row>
    <row r="22" spans="1:6" x14ac:dyDescent="0.35">
      <c r="A22" s="1" t="s">
        <v>40</v>
      </c>
      <c r="B22" s="1" t="s">
        <v>41</v>
      </c>
      <c r="C22" s="1" t="s">
        <v>118</v>
      </c>
      <c r="D22" s="2">
        <v>5000</v>
      </c>
      <c r="E22" s="2">
        <v>5000</v>
      </c>
      <c r="F22" s="2">
        <v>5000</v>
      </c>
    </row>
    <row r="23" spans="1:6" x14ac:dyDescent="0.35">
      <c r="A23" s="1" t="s">
        <v>42</v>
      </c>
      <c r="B23" s="1" t="s">
        <v>43</v>
      </c>
      <c r="C23" s="1" t="s">
        <v>118</v>
      </c>
      <c r="D23" s="2">
        <v>5000</v>
      </c>
      <c r="E23" s="2">
        <v>5000</v>
      </c>
      <c r="F23" s="2">
        <v>5000</v>
      </c>
    </row>
    <row r="24" spans="1:6" x14ac:dyDescent="0.35">
      <c r="A24" s="1" t="s">
        <v>44</v>
      </c>
      <c r="B24" s="1" t="s">
        <v>45</v>
      </c>
      <c r="C24" s="1" t="s">
        <v>118</v>
      </c>
      <c r="D24" s="2" t="s">
        <v>59</v>
      </c>
      <c r="E24" s="2">
        <v>2500</v>
      </c>
      <c r="F24" s="2">
        <v>2500</v>
      </c>
    </row>
    <row r="25" spans="1:6" x14ac:dyDescent="0.35">
      <c r="A25" s="1" t="s">
        <v>46</v>
      </c>
      <c r="B25" s="1" t="s">
        <v>47</v>
      </c>
      <c r="C25" s="1" t="s">
        <v>118</v>
      </c>
      <c r="D25" s="2">
        <v>2000</v>
      </c>
      <c r="E25" s="2">
        <v>2500</v>
      </c>
      <c r="F25" s="2">
        <v>2500</v>
      </c>
    </row>
    <row r="26" spans="1:6" x14ac:dyDescent="0.35">
      <c r="A26" s="1" t="s">
        <v>48</v>
      </c>
      <c r="B26" s="1" t="s">
        <v>49</v>
      </c>
      <c r="C26" s="1" t="s">
        <v>118</v>
      </c>
      <c r="D26" s="2">
        <v>5000</v>
      </c>
      <c r="E26" s="2">
        <v>5000</v>
      </c>
      <c r="F26" s="2">
        <v>5000</v>
      </c>
    </row>
    <row r="27" spans="1:6" x14ac:dyDescent="0.35">
      <c r="A27" s="1" t="s">
        <v>50</v>
      </c>
      <c r="B27" s="1" t="s">
        <v>51</v>
      </c>
      <c r="C27" s="1" t="s">
        <v>118</v>
      </c>
      <c r="D27" s="2" t="s">
        <v>59</v>
      </c>
      <c r="E27" s="2">
        <v>2500</v>
      </c>
      <c r="F27" s="2">
        <v>2500</v>
      </c>
    </row>
    <row r="28" spans="1:6" hidden="1" x14ac:dyDescent="0.35">
      <c r="A28" s="1" t="s">
        <v>52</v>
      </c>
      <c r="B28" s="1" t="s">
        <v>53</v>
      </c>
      <c r="C28" s="1" t="s">
        <v>119</v>
      </c>
      <c r="D28" s="2">
        <v>15000</v>
      </c>
      <c r="E28" s="2">
        <v>12000</v>
      </c>
      <c r="F28" s="2">
        <v>12000</v>
      </c>
    </row>
    <row r="29" spans="1:6" hidden="1" x14ac:dyDescent="0.35">
      <c r="A29" s="1" t="s">
        <v>54</v>
      </c>
      <c r="B29" s="1" t="s">
        <v>55</v>
      </c>
      <c r="C29" s="1" t="s">
        <v>119</v>
      </c>
      <c r="D29" s="2">
        <v>35000</v>
      </c>
      <c r="E29" s="2">
        <v>30000</v>
      </c>
      <c r="F29" s="2">
        <v>30000</v>
      </c>
    </row>
    <row r="30" spans="1:6" hidden="1" x14ac:dyDescent="0.35">
      <c r="A30" s="1" t="s">
        <v>56</v>
      </c>
      <c r="B30" s="1" t="s">
        <v>57</v>
      </c>
      <c r="C30" s="1" t="s">
        <v>119</v>
      </c>
      <c r="D30" s="2">
        <v>2500</v>
      </c>
      <c r="E30" s="2">
        <v>2500</v>
      </c>
      <c r="F30" s="2">
        <v>2500</v>
      </c>
    </row>
    <row r="31" spans="1:6" hidden="1" x14ac:dyDescent="0.35">
      <c r="A31" s="1" t="s">
        <v>56</v>
      </c>
      <c r="B31" s="1" t="s">
        <v>58</v>
      </c>
      <c r="C31" s="1" t="s">
        <v>119</v>
      </c>
      <c r="D31" s="2">
        <v>2500</v>
      </c>
      <c r="E31" s="2">
        <v>2500</v>
      </c>
      <c r="F31" s="2">
        <v>2500</v>
      </c>
    </row>
  </sheetData>
  <autoFilter ref="A2:F31" xr:uid="{C3A26649-C773-4010-A513-016A7214AFFC}">
    <filterColumn colId="2">
      <filters>
        <filter val="Inhou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USTT</vt:lpstr>
      <vt:lpstr>UKTT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Deepalionesto 1</dc:creator>
  <cp:lastModifiedBy>Deepalionesto 1</cp:lastModifiedBy>
  <dcterms:created xsi:type="dcterms:W3CDTF">2026-08-06T13:41:54Z</dcterms:created>
  <dcterms:modified xsi:type="dcterms:W3CDTF">2026-08-07T08:20:20Z</dcterms:modified>
</cp:coreProperties>
</file>